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bcee31443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8feca3b537184ff6"/>
    <x:sheet xmlns:r="http://schemas.openxmlformats.org/officeDocument/2006/relationships" name="核心文献" sheetId="2" r:id="R9801916fc02e4e77"/>
    <x:sheet xmlns:r="http://schemas.openxmlformats.org/officeDocument/2006/relationships" name="软件矩阵" sheetId="3" r:id="R1de69cc7e07c4fab"/>
    <x:sheet xmlns:r="http://schemas.openxmlformats.org/officeDocument/2006/relationships" name="问卷题库" sheetId="4" r:id="R7dd6864c6d714acc"/>
    <x:sheet xmlns:r="http://schemas.openxmlformats.org/officeDocument/2006/relationships" name="验证矩阵" sheetId="5" r:id="R265cca4f40b8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9"/>
      <x:color rgb="FF0F766E"/>
      <x:name val="Carlito"/>
    </x:font>
    <x:font>
      <x:b/>
      <x:sz val="9"/>
      <x:color rgb="FF17324D"/>
      <x:name val="Carlito"/>
    </x:font>
    <x:font>
      <x:b/>
      <x:sz val="11"/>
      <x:color rgb="FF17324D"/>
      <x:name val="Carlito"/>
    </x:font>
    <x:font>
      <x:b/>
      <x:sz val="24"/>
      <x:color rgb="FF17324D"/>
      <x:name val="Carlito"/>
    </x:font>
    <x:font>
      <x:b/>
      <x:sz val="24"/>
      <x:color rgb="FF166534"/>
      <x:name val="Carlito"/>
    </x:font>
    <x:font>
      <x:b/>
      <x:sz val="20"/>
      <x:color rgb="FF17324D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8"/>
      </x:patternFill>
    </x:fill>
    <x:fill>
      <x:patternFill patternType="solid">
        <x:fgColor rgb="FFDFF4F1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5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horizont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horizont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1" fillId="6" borderId="4" xfId="0" applyNumberFormat="1" applyFont="1" applyFill="1" applyBorder="1" applyAlignment="1">
      <x:alignment horizontal="center" vertical="center" wrapText="1"/>
    </x:xf>
    <x:xf numFmtId="0" fontId="11" fillId="6" borderId="10" xfId="0" applyNumberFormat="1" applyFont="1" applyFill="1" applyBorder="1" applyAlignment="1">
      <x:alignment horizontal="center" vertical="center" wrapText="1"/>
    </x:xf>
    <x:xf numFmtId="0" fontId="11" fillId="6" borderId="12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11" fillId="6" borderId="1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5071b0c5f4fff" /><Relationship Type="http://schemas.openxmlformats.org/officeDocument/2006/relationships/theme" Target="/xl/theme/theme1.xml" Id="Ra0ec50dcbacb43fb" /><Relationship Type="http://schemas.openxmlformats.org/officeDocument/2006/relationships/sharedStrings" Target="/xl/sharedStrings.xml" Id="Rd7d8ec407afb4f1b" /><Relationship Type="http://schemas.openxmlformats.org/officeDocument/2006/relationships/worksheet" Target="/xl/worksheets/sheet1.xml" Id="R8feca3b537184ff6" /><Relationship Type="http://schemas.openxmlformats.org/officeDocument/2006/relationships/worksheet" Target="/xl/worksheets/sheet2.xml" Id="R9801916fc02e4e77" /><Relationship Type="http://schemas.openxmlformats.org/officeDocument/2006/relationships/worksheet" Target="/xl/worksheets/sheet3.xml" Id="R1de69cc7e07c4fab" /><Relationship Type="http://schemas.openxmlformats.org/officeDocument/2006/relationships/worksheet" Target="/xl/worksheets/sheet4.xml" Id="R7dd6864c6d714acc" /><Relationship Type="http://schemas.openxmlformats.org/officeDocument/2006/relationships/worksheet" Target="/xl/worksheets/sheet5.xml" Id="R265cca4f40b849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2ac673ace946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文献主题分布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条目数</c:v>
          </c:tx>
          <c:cat>
            <c:strRef>
              <c:f>'概览'!$A$16:$A$22</c:f>
              <c:strCache>
                <c:ptCount val="0"/>
              </c:strCache>
            </c:strRef>
          </c:cat>
          <c:val>
            <c:numRef>
              <c:f>'概览'!$B$16:$B$22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2ac673ace946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teratureTable" displayName="LiteratureTable" ref="A4:Q68" headerRowCount="1">
  <x:tableColumns count="17">
    <x:tableColumn id="1" name="ID"/>
    <x:tableColumn id="2" name="优先级"/>
    <x:tableColumn id="3" name="证据等级"/>
    <x:tableColumn id="4" name="主题"/>
    <x:tableColumn id="5" name="软件/对象"/>
    <x:tableColumn id="6" name="标题"/>
    <x:tableColumn id="7" name="作者"/>
    <x:tableColumn id="8" name="年份"/>
    <x:tableColumn id="9" name="期刊/来源"/>
    <x:tableColumn id="10" name="卷页/版本"/>
    <x:tableColumn id="11" name="DOI"/>
    <x:tableColumn id="12" name="文献类型"/>
    <x:tableColumn id="13" name="开放获取"/>
    <x:tableColumn id="14" name="证据用途"/>
    <x:tableColumn id="15" name="对项目的含义"/>
    <x:tableColumn id="16" name="下载/来源URL"/>
    <x:tableColumn id="17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SoftwareMatrixTable" displayName="SoftwareMatrixTable" ref="A4:Q22" headerRowCount="1">
  <x:tableColumns count="17">
    <x:tableColumn id="1" name="软件"/>
    <x:tableColumn id="2" name="定位"/>
    <x:tableColumn id="3" name="许可/获取"/>
    <x:tableColumn id="4" name="Python/API"/>
    <x:tableColumn id="5" name="分子"/>
    <x:tableColumn id="6" name="周期"/>
    <x:tableColumn id="7" name="波函数/CC"/>
    <x:tableColumn id="8" name="多参考"/>
    <x:tableColumn id="9" name="DFT/性质"/>
    <x:tableColumn id="10" name="GPU/HPC"/>
    <x:tableColumn id="11" name="GUI/易用"/>
    <x:tableColumn id="12" name="典型场景"/>
    <x:tableColumn id="13" name="认可度证据"/>
    <x:tableColumn id="14" name="对本项目适配"/>
    <x:tableColumn id="15" name="主要风险/限制"/>
    <x:tableColumn id="16" name="核心文献DOI"/>
    <x:tableColumn id="17" name="官网/源码"/>
  </x:tableColumns>
  <x:tableStyleInfo name="TableStyleMedium2" showRowStripes="1"/>
</x:table>
</file>

<file path=xl/tables/table3.xml><?xml version="1.0" encoding="utf-8"?>
<x:table xmlns:x="http://schemas.openxmlformats.org/spreadsheetml/2006/main" id="3" name="SurveyQuestionTable" displayName="SurveyQuestionTable" ref="A4:I31" headerRowCount="1">
  <x:tableColumns count="9">
    <x:tableColumn id="1" name="编号"/>
    <x:tableColumn id="2" name="模块"/>
    <x:tableColumn id="3" name="题目"/>
    <x:tableColumn id="4" name="题型"/>
    <x:tableColumn id="5" name="选项/量表"/>
    <x:tableColumn id="6" name="必答"/>
    <x:tableColumn id="7" name="分支逻辑"/>
    <x:tableColumn id="8" name="测量目的"/>
    <x:tableColumn id="9" name="建议编码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MatrixTable" displayName="ValidationMatrixTable" ref="A4:J24" headerRowCount="1">
  <x:tableColumns count="10">
    <x:tableColumn id="1" name="测试ID"/>
    <x:tableColumn id="2" name="层级"/>
    <x:tableColumn id="3" name="测试对象"/>
    <x:tableColumn id="4" name="固定输入/fixture"/>
    <x:tableColumn id="5" name="比较引擎/参考"/>
    <x:tableColumn id="6" name="指标"/>
    <x:tableColumn id="7" name="建议阈值"/>
    <x:tableColumn id="8" name="必须记录的元数据"/>
    <x:tableColumn id="9" name="常见失败解释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88292633a745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32e36050674e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eb368a973644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85f9da8c14a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bce2ce49094e4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PySCF × ChemBlender 量子化学可视化深度调研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检索与整理日期：2026-07-19｜证据分层：同行评议、官方资料、公开技术讨论、社区调查</x:v>
      </x:c>
      <x:c r="B2" s="12"/>
      <x:c r="C2" s="12"/>
      <x:c r="D2" s="12"/>
      <x:c r="E2" s="12"/>
      <x:c r="F2" s="12"/>
      <x:c r="G2" s="12"/>
      <x:c r="H2" s="12"/>
    </x:row>
    <x:row r="4">
      <x:c r="A4" s="17" t="str">
        <x:v>结论概览</x:v>
      </x:c>
      <x:c r="B4" s="17"/>
      <x:c r="C4" s="17"/>
      <x:c r="D4" s="17"/>
      <x:c r="E4" s="17"/>
      <x:c r="F4" s="17"/>
      <x:c r="G4" s="17"/>
      <x:c r="H4" s="17"/>
    </x:row>
    <x:row r="5" ht="42" customHeight="1">
      <x:c r="A5" s="48" t="str">
        <x:v>1</x:v>
      </x:c>
      <x:c r="B5" s="54" t="str">
        <x:v>方向判断</x:v>
      </x:c>
      <x:c r="C5" s="28" t="str">
        <x:v>值得继续，但不能定位成“PySCF专用cube→VDB转换器”。已有Den2Obj和Molecular Blender等先例。可防御价值应是：引擎无关、物理语义正确、可验证、可复现、适合大体数据和动画的完整工作流。</x:v>
      </x:c>
      <x:c r="E5" s="63" t="str">
        <x:v>文献条目</x:v>
      </x:c>
      <x:c r="F5" s="63"/>
      <x:c r="G5" s="63" t="str">
        <x:v>高优先级（A）</x:v>
      </x:c>
      <x:c r="H5" s="63"/>
    </x:row>
    <x:row r="6" ht="42" customHeight="1">
      <x:c r="A6" s="49" t="str">
        <x:v>2</x:v>
      </x:c>
      <x:c r="B6" s="55" t="str">
        <x:v>PySCF认可度</x:v>
      </x:c>
      <x:c r="C6" s="30" t="str">
        <x:v>PySCF已有高质量软件论文、活跃版本、广泛方法覆盖、周期体系和GPU/工业应用证据。它在方法开发、自动化和Python生态中的可信度很强；但传统GUI、原生Windows和部分任务性能不必然优于Gaussian/ORCA。</x:v>
      </x:c>
      <x:c r="E6" s="70" t="n">
        <x:f>COUNTA('核心文献'!A5:A68)</x:f>
        <x:v>64</x:v>
      </x:c>
      <x:c r="F6" s="70"/>
      <x:c r="G6" s="77" t="n">
        <x:f>COUNTIF('核心文献'!B5:B68,"A")</x:f>
        <x:v>25</x:v>
      </x:c>
      <x:c r="H6" s="77"/>
    </x:row>
    <x:row r="7" ht="42" customHeight="1">
      <x:c r="A7" s="49" t="str">
        <x:v>3</x:v>
      </x:c>
      <x:c r="B7" s="55" t="str">
        <x:v>与Gaussian差异</x:v>
      </x:c>
      <x:c r="C7" s="30" t="str">
        <x:v>Gaussian是成熟商业集成程序包；PySCF是开放Python框架/库。前者强调现成流程、培训和商业支持，后者强调透明、可修改、可嵌入和可扩展。准确度主要由计算协议决定，不由品牌单独决定。</x:v>
      </x:c>
      <x:c r="E7" s="70"/>
      <x:c r="F7" s="70"/>
      <x:c r="G7" s="77"/>
      <x:c r="H7" s="77"/>
    </x:row>
    <x:row r="8" ht="42" customHeight="1">
      <x:c r="A8" s="49" t="str">
        <x:v>4</x:v>
      </x:c>
      <x:c r="B8" s="55" t="str">
        <x:v>证明策略</x:v>
      </x:c>
      <x:c r="C8" s="30" t="str">
        <x:v>不要用GitHub星标或单一引用量证明“行业认可”。应组合：同行评议软件论文、独立/跨代码基准、版本与测试成熟度、生态互操作、真实用户/行业案例、分层问卷和访谈。</x:v>
      </x:c>
      <x:c r="E8" s="70"/>
      <x:c r="F8" s="70"/>
      <x:c r="G8" s="77"/>
      <x:c r="H8" s="77"/>
    </x:row>
    <x:row r="9" ht="42" customHeight="1">
      <x:c r="A9" s="50" t="str">
        <x:v>5</x:v>
      </x:c>
      <x:c r="B9" s="56" t="str">
        <x:v>下一步</x:v>
      </x:c>
      <x:c r="C9" s="33" t="str">
        <x:v>先做科学完整性与跨代码验证，再做多引擎适配和高级场类型；问卷应询问过去12个月实际行为、选择因素、信任证据和采用障碍，而不是直接问“PySCF是否被认可”。</x:v>
      </x:c>
      <x:c r="E9" s="63" t="str">
        <x:v>软件矩阵</x:v>
      </x:c>
      <x:c r="F9" s="63"/>
      <x:c r="G9" s="63" t="str">
        <x:v>问卷题目</x:v>
      </x:c>
      <x:c r="H9" s="63"/>
    </x:row>
    <x:row r="10" ht="42" customHeight="1">
      <x:c r="E10" s="84" t="n">
        <x:f>COUNTA('软件矩阵'!A5:A22)</x:f>
        <x:v>18</x:v>
      </x:c>
      <x:c r="F10" s="84"/>
      <x:c r="G10" s="84" t="n">
        <x:f>COUNTA('问卷题库'!A5:A31)</x:f>
        <x:v>27</x:v>
      </x:c>
      <x:c r="H10" s="84"/>
    </x:row>
    <x:row r="11" ht="42" customHeight="1">
      <x:c r="E11" s="84"/>
      <x:c r="F11" s="84"/>
      <x:c r="G11" s="84"/>
      <x:c r="H11" s="84"/>
    </x:row>
    <x:row r="12" ht="42" customHeight="1"/>
    <x:row r="13" ht="42" customHeight="1">
      <x:c r="A13" s="17" t="str">
        <x:v>证据类型分布</x:v>
      </x:c>
      <x:c r="B13" s="17"/>
      <x:c r="C13" s="17"/>
      <x:c r="D13" s="17"/>
      <x:c r="E13" s="17"/>
      <x:c r="F13" s="17"/>
      <x:c r="G13" s="17"/>
      <x:c r="H13" s="17"/>
    </x:row>
    <x:row r="14" ht="42" customHeight="1"/>
    <x:row r="15" ht="42" customHeight="1">
      <x:c r="A15" s="98" t="str">
        <x:v>主题</x:v>
      </x:c>
      <x:c r="B15" s="99" t="str">
        <x:v>条目数</x:v>
      </x:c>
    </x:row>
    <x:row r="16" ht="42" customHeight="1">
      <x:c r="A16" s="29" t="str">
        <x:v>PySCF核心与生态</x:v>
      </x:c>
      <x:c r="B16" s="30" t="n">
        <x:f>COUNTIF('核心文献'!D5:D68,A16)</x:f>
        <x:v>8</x:v>
      </x:c>
    </x:row>
    <x:row r="17" ht="42" customHeight="1">
      <x:c r="A17" s="29" t="str">
        <x:v>综述与软件工程</x:v>
      </x:c>
      <x:c r="B17" s="30" t="n">
        <x:f>COUNTIF('核心文献'!D5:D68,A17)</x:f>
        <x:v>4</x:v>
      </x:c>
    </x:row>
    <x:row r="18" ht="42" customHeight="1">
      <x:c r="A18" s="29" t="str">
        <x:v>数值可靠性与基准</x:v>
      </x:c>
      <x:c r="B18" s="30" t="n">
        <x:f>COUNTIF('核心文献'!D5:D68,A18)</x:f>
        <x:v>5</x:v>
      </x:c>
    </x:row>
    <x:row r="19" ht="42" customHeight="1">
      <x:c r="A19" s="29" t="str">
        <x:v>主流量子化学软件</x:v>
      </x:c>
      <x:c r="B19" s="30" t="n">
        <x:f>COUNTIF('核心文献'!D5:D68,A19)</x:f>
        <x:v>21</x:v>
      </x:c>
    </x:row>
    <x:row r="20" ht="42" customHeight="1">
      <x:c r="A20" s="29" t="str">
        <x:v>互操作与工作流</x:v>
      </x:c>
      <x:c r="B20" s="30" t="n">
        <x:f>COUNTIF('核心文献'!D5:D68,A20)</x:f>
        <x:v>9</x:v>
      </x:c>
    </x:row>
    <x:row r="21" ht="42" customHeight="1">
      <x:c r="A21" s="29" t="str">
        <x:v>数据格式与可视化</x:v>
      </x:c>
      <x:c r="B21" s="30" t="n">
        <x:f>COUNTIF('核心文献'!D5:D68,A21)</x:f>
        <x:v>12</x:v>
      </x:c>
    </x:row>
    <x:row r="22" ht="42" customHeight="1">
      <x:c r="A22" s="31" t="str">
        <x:v>采用度与维护</x:v>
      </x:c>
      <x:c r="B22" s="33" t="n">
        <x:f>COUNTIF('核心文献'!D5:D68,A22)</x:f>
        <x:v>5</x:v>
      </x:c>
    </x:row>
    <x:row r="23" ht="42" customHeight="1"/>
    <x:row r="24" ht="42" customHeight="1"/>
    <x:row r="25" ht="42" customHeight="1">
      <x:c r="A25" s="17" t="str">
        <x:v>“行业认可度”建议采用的六维证据模型</x:v>
      </x:c>
      <x:c r="B25" s="17"/>
      <x:c r="C25" s="17"/>
      <x:c r="D25" s="17"/>
      <x:c r="E25" s="17"/>
      <x:c r="F25" s="17"/>
      <x:c r="G25" s="17"/>
      <x:c r="H25" s="17"/>
    </x:row>
    <x:row r="26" ht="42" customHeight="1"/>
    <x:row r="27" ht="42" customHeight="1">
      <x:c r="A27" s="98" t="str">
        <x:v>维度</x:v>
      </x:c>
      <x:c r="B27" s="102" t="str">
        <x:v>应收集的证据</x:v>
      </x:c>
      <x:c r="C27" s="99" t="str">
        <x:v>不应单独使用的代理</x:v>
      </x:c>
    </x:row>
    <x:row r="28" ht="42" customHeight="1">
      <x:c r="A28" s="29" t="str">
        <x:v>科学可信度</x:v>
      </x:c>
      <x:c r="B28" s="22" t="str">
        <x:v>同行评议软件论文、独立跨代码基准、已知测试集复现</x:v>
      </x:c>
      <x:c r="C28" s="30" t="str">
        <x:v>单次示例结果</x:v>
      </x:c>
    </x:row>
    <x:row r="29" ht="42" customHeight="1">
      <x:c r="A29" s="29" t="str">
        <x:v>数值可复现</x:v>
      </x:c>
      <x:c r="B29" s="22" t="str">
        <x:v>固定版本、方法、基组/ECP、网格、收敛、哈希与回归测试</x:v>
      </x:c>
      <x:c r="C29" s="30" t="str">
        <x:v>只写“B3LYP/某软件”</x:v>
      </x:c>
    </x:row>
    <x:row r="30" ht="42" customHeight="1">
      <x:c r="A30" s="29" t="str">
        <x:v>工程成熟度</x:v>
      </x:c>
      <x:c r="B30" s="22" t="str">
        <x:v>发布节奏、CI、测试、文档、错误诊断、长期维护</x:v>
      </x:c>
      <x:c r="C30" s="30" t="str">
        <x:v>GitHub星标</x:v>
      </x:c>
    </x:row>
    <x:row r="31" ht="42" customHeight="1">
      <x:c r="A31" s="29" t="str">
        <x:v>真实采用</x:v>
      </x:c>
      <x:c r="B31" s="22" t="str">
        <x:v>过去12个月实际使用、团队标准、工业案例、可审计作业记录</x:v>
      </x:c>
      <x:c r="C31" s="30" t="str">
        <x:v>引用量或下载量单项</x:v>
      </x:c>
    </x:row>
    <x:row r="32" ht="42" customHeight="1">
      <x:c r="A32" s="29" t="str">
        <x:v>工作流适配</x:v>
      </x:c>
      <x:c r="B32" s="22" t="str">
        <x:v>Python/API、HPC/GPU、格式、批处理、GUI、互操作</x:v>
      </x:c>
      <x:c r="C32" s="30" t="str">
        <x:v>功能清单数量</x:v>
      </x:c>
    </x:row>
    <x:row r="33" ht="42" customHeight="1">
      <x:c r="A33" s="31" t="str">
        <x:v>支持与治理</x:v>
      </x:c>
      <x:c r="B33" s="32" t="str">
        <x:v>许可证、商业支持、社区响应、合规、平台可用性</x:v>
      </x:c>
      <x:c r="C33" s="33" t="str">
        <x:v>知名度印象</x:v>
      </x:c>
    </x:row>
  </x:sheetData>
  <x:mergeCells>
    <x:mergeCell ref="A1:H1"/>
    <x:mergeCell ref="A2:H2"/>
    <x:mergeCell ref="A4:H4"/>
    <x:mergeCell ref="E5:F5"/>
    <x:mergeCell ref="G5:H5"/>
    <x:mergeCell ref="E9:F9"/>
    <x:mergeCell ref="G9:H9"/>
    <x:mergeCell ref="E6:F8"/>
    <x:mergeCell ref="G6:H8"/>
    <x:mergeCell ref="E10:F11"/>
    <x:mergeCell ref="G10:H11"/>
    <x:mergeCell ref="A13:H13"/>
    <x:mergeCell ref="A25:H25"/>
  </x:mergeCells>
  <x:pageMargins left="0.7" right="0.7" top="0.75" bottom="0.75" header="0.3" footer="0.3"/>
  <x:drawing xmlns:r="http://schemas.openxmlformats.org/officeDocument/2006/relationships" r:id="R3788292633a7457d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  <x:col min="7" max="7" width="22" hidden="0" customWidth="1"/>
    <x:col min="8" max="8" width="8" hidden="0" customWidth="1"/>
    <x:col min="9" max="9" width="24" hidden="0" customWidth="1"/>
    <x:col min="10" max="10" width="18" hidden="0" customWidth="1"/>
    <x:col min="11" max="11" width="24" hidden="0" customWidth="1"/>
    <x:col min="12" max="12" width="18" hidden="0" customWidth="1"/>
    <x:col min="13" max="13" width="12" hidden="0" customWidth="1"/>
    <x:col min="14" max="14" width="34" hidden="0" customWidth="1"/>
    <x:col min="15" max="15" width="38" hidden="0" customWidth="1"/>
    <x:col min="16" max="16" width="38" hidden="0" customWidth="1"/>
    <x:col min="17" max="17" width="28" hidden="0" customWidth="1"/>
  </x:cols>
  <x:sheetData>
    <x:row r="1" ht="32" customHeight="1">
      <x:c r="A1" s="5" t="str">
        <x:v>核心文献库：PySCF、量子化学软件、数值验证、互操作与Blender/OpenVDB可视化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4" customHeight="1">
      <x:c r="A2" s="12" t="str">
        <x:v>优先级A=建议先下载精读；B=重要补充；C=背景/案例。证据等级用于区分同行评议、官方自述和非代表性社区证据。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 ht="42" customHeight="1">
      <x:c r="A4" s="98" t="str">
        <x:v>ID</x:v>
      </x:c>
      <x:c r="B4" s="102" t="str">
        <x:v>优先级</x:v>
      </x:c>
      <x:c r="C4" s="102" t="str">
        <x:v>证据等级</x:v>
      </x:c>
      <x:c r="D4" s="102" t="str">
        <x:v>主题</x:v>
      </x:c>
      <x:c r="E4" s="102" t="str">
        <x:v>软件/对象</x:v>
      </x:c>
      <x:c r="F4" s="102" t="str">
        <x:v>标题</x:v>
      </x:c>
      <x:c r="G4" s="102" t="str">
        <x:v>作者</x:v>
      </x:c>
      <x:c r="H4" s="102" t="str">
        <x:v>年份</x:v>
      </x:c>
      <x:c r="I4" s="102" t="str">
        <x:v>期刊/来源</x:v>
      </x:c>
      <x:c r="J4" s="102" t="str">
        <x:v>卷页/版本</x:v>
      </x:c>
      <x:c r="K4" s="102" t="str">
        <x:v>DOI</x:v>
      </x:c>
      <x:c r="L4" s="102" t="str">
        <x:v>文献类型</x:v>
      </x:c>
      <x:c r="M4" s="102" t="str">
        <x:v>开放获取</x:v>
      </x:c>
      <x:c r="N4" s="102" t="str">
        <x:v>证据用途</x:v>
      </x:c>
      <x:c r="O4" s="102" t="str">
        <x:v>对项目的含义</x:v>
      </x:c>
      <x:c r="P4" s="102" t="str">
        <x:v>下载/来源URL</x:v>
      </x:c>
      <x:c r="Q4" s="99" t="str">
        <x:v>备注</x:v>
      </x:c>
    </x:row>
    <x:row r="5" ht="42" customHeight="1">
      <x:c r="A5" s="29" t="str">
        <x:v>L001</x:v>
      </x:c>
      <x:c r="B5" s="22" t="str">
        <x:v>A</x:v>
      </x:c>
      <x:c r="C5" s="22" t="str">
        <x:v>同行评议·软件论文</x:v>
      </x:c>
      <x:c r="D5" s="22" t="str">
        <x:v>PySCF核心与生态</x:v>
      </x:c>
      <x:c r="E5" s="22" t="str">
        <x:v>PySCF</x:v>
      </x:c>
      <x:c r="F5" s="22" t="str">
        <x:v>PySCF: the Python-based simulations of chemistry framework</x:v>
      </x:c>
      <x:c r="G5" s="22" t="str">
        <x:v>Qiming Sun et al.</x:v>
      </x:c>
      <x:c r="H5" s="104" t="n">
        <x:v>2018</x:v>
      </x:c>
      <x:c r="I5" s="22" t="str">
        <x:v>WIREs Computational Molecular Science</x:v>
      </x:c>
      <x:c r="J5" s="22" t="str">
        <x:v>8, e1340</x:v>
      </x:c>
      <x:c r="K5" s="22" t="str">
        <x:v>10.1002/wcms.1340</x:v>
      </x:c>
      <x:c r="L5" s="22" t="str">
        <x:v>软件综述/框架论文</x:v>
      </x:c>
      <x:c r="M5" s="22" t="str">
        <x:v>是</x:v>
      </x:c>
      <x:c r="N5" s="22" t="str">
        <x:v>确认PySCF的设计定位、Python原生接口、方法覆盖与扩展性</x:v>
      </x:c>
      <x:c r="O5" s="22" t="str">
        <x:v>PySCF应被视为研究级电子结构框架，而非单纯命令行程序。</x:v>
      </x:c>
      <x:c r="P5" s="22" t="str">
        <x:v>https://doi.org/10.1002/wcms.1340</x:v>
      </x:c>
      <x:c r="Q5" s="30" t="str">
        <x:v>核心必读。</x:v>
      </x:c>
    </x:row>
    <x:row r="6" ht="42" customHeight="1">
      <x:c r="A6" s="29" t="str">
        <x:v>L002</x:v>
      </x:c>
      <x:c r="B6" s="22" t="str">
        <x:v>A</x:v>
      </x:c>
      <x:c r="C6" s="22" t="str">
        <x:v>同行评议·软件论文</x:v>
      </x:c>
      <x:c r="D6" s="22" t="str">
        <x:v>PySCF核心与生态</x:v>
      </x:c>
      <x:c r="E6" s="22" t="str">
        <x:v>PySCF</x:v>
      </x:c>
      <x:c r="F6" s="22" t="str">
        <x:v>Recent developments in the PySCF program package</x:v>
      </x:c>
      <x:c r="G6" s="22" t="str">
        <x:v>Qiming Sun et al.</x:v>
      </x:c>
      <x:c r="H6" s="104" t="n">
        <x:v>2020</x:v>
      </x:c>
      <x:c r="I6" s="22" t="str">
        <x:v>The Journal of Chemical Physics</x:v>
      </x:c>
      <x:c r="J6" s="22" t="str">
        <x:v>153, 024109</x:v>
      </x:c>
      <x:c r="K6" s="22" t="str">
        <x:v>10.1063/5.0006074</x:v>
      </x:c>
      <x:c r="L6" s="22" t="str">
        <x:v>软件更新/综述</x:v>
      </x:c>
      <x:c r="M6" s="22" t="str">
        <x:v>是</x:v>
      </x:c>
      <x:c r="N6" s="22" t="str">
        <x:v>确认分子、周期体系、多参考、耦合簇、量子嵌入等能力</x:v>
      </x:c>
      <x:c r="O6" s="22" t="str">
        <x:v>这是评估PySCF学术认可度和功能边界的首要引用。</x:v>
      </x:c>
      <x:c r="P6" s="22" t="str">
        <x:v>https://doi.org/10.1063/5.0006074</x:v>
      </x:c>
      <x:c r="Q6" s="30" t="str">
        <x:v>引用量是学术影响代理，不等于用户量。</x:v>
      </x:c>
    </x:row>
    <x:row r="7" ht="42" customHeight="1">
      <x:c r="A7" s="29" t="str">
        <x:v>L003</x:v>
      </x:c>
      <x:c r="B7" s="22" t="str">
        <x:v>A</x:v>
      </x:c>
      <x:c r="C7" s="22" t="str">
        <x:v>同行评议·方法/性能</x:v>
      </x:c>
      <x:c r="D7" s="22" t="str">
        <x:v>PySCF核心与生态</x:v>
      </x:c>
      <x:c r="E7" s="22" t="str">
        <x:v>GPU4PySCF</x:v>
      </x:c>
      <x:c r="F7" s="22" t="str">
        <x:v>Introducing GPU Acceleration into the Python-Based Simulations of Chemistry Framework</x:v>
      </x:c>
      <x:c r="G7" s="22" t="str">
        <x:v>Rui Li, Qiming Sun, Xing Zhang, Garnet K.-L. Chan</x:v>
      </x:c>
      <x:c r="H7" s="104" t="n">
        <x:v>2025</x:v>
      </x:c>
      <x:c r="I7" s="22" t="str">
        <x:v>The Journal of Physical Chemistry A</x:v>
      </x:c>
      <x:c r="J7" s="22" t="str">
        <x:v>129, 1459–1468</x:v>
      </x:c>
      <x:c r="K7" s="22" t="str">
        <x:v>10.1021/acs.jpca.4c05876</x:v>
      </x:c>
      <x:c r="L7" s="22" t="str">
        <x:v>GPU实现与基准</x:v>
      </x:c>
      <x:c r="M7" s="22" t="str">
        <x:v>是</x:v>
      </x:c>
      <x:c r="N7" s="22" t="str">
        <x:v>验证PySCF生态的GPU加速路线与相对性能</x:v>
      </x:c>
      <x:c r="O7" s="22" t="str">
        <x:v>可把交互可视化前处理与GPU计算整合为同一Python工作流。</x:v>
      </x:c>
      <x:c r="P7" s="22" t="str">
        <x:v>https://doi.org/10.1021/acs.jpca.4c05876</x:v>
      </x:c>
      <x:c r="Q7" s="30" t="str">
        <x:v>作者基准；需复现实验条件。</x:v>
      </x:c>
    </x:row>
    <x:row r="8" ht="42" customHeight="1">
      <x:c r="A8" s="29" t="str">
        <x:v>L004</x:v>
      </x:c>
      <x:c r="B8" s="22" t="str">
        <x:v>A</x:v>
      </x:c>
      <x:c r="C8" s="22" t="str">
        <x:v>同行评议·工业应用</x:v>
      </x:c>
      <x:c r="D8" s="22" t="str">
        <x:v>PySCF核心与生态</x:v>
      </x:c>
      <x:c r="E8" s="22" t="str">
        <x:v>GPU4PySCF</x:v>
      </x:c>
      <x:c r="F8" s="22" t="str">
        <x:v>Enhancing GPU-Acceleration in the Python-Based Simulations of Chemistry Frameworks</x:v>
      </x:c>
      <x:c r="G8" s="22" t="str">
        <x:v>Xiaojie Wu et al.</x:v>
      </x:c>
      <x:c r="H8" s="104" t="n">
        <x:v>2025</x:v>
      </x:c>
      <x:c r="I8" s="22" t="str">
        <x:v>WIREs Computational Molecular Science</x:v>
      </x:c>
      <x:c r="J8" s="22" t="str">
        <x:v>15, e70008</x:v>
      </x:c>
      <x:c r="K8" s="22" t="str">
        <x:v>10.1002/wcms.70008</x:v>
      </x:c>
      <x:c r="L8" s="22" t="str">
        <x:v>工业应用/软件论文</x:v>
      </x:c>
      <x:c r="M8" s="22" t="str">
        <x:v>是</x:v>
      </x:c>
      <x:c r="N8" s="22" t="str">
        <x:v>提供工业利益相关方对GPU4PySCF的采用、成本与工作流证据</x:v>
      </x:c>
      <x:c r="O8" s="22" t="str">
        <x:v>这是PySCF工业潜力最直接的同行评议证据之一。</x:v>
      </x:c>
      <x:c r="P8" s="22" t="str">
        <x:v>https://doi.org/10.1002/wcms.70008</x:v>
      </x:c>
      <x:c r="Q8" s="30" t="str">
        <x:v>性能与成本结论来自作者案例，不宜外推到全部方法。</x:v>
      </x:c>
    </x:row>
    <x:row r="9" ht="42" customHeight="1">
      <x:c r="A9" s="29" t="str">
        <x:v>L005</x:v>
      </x:c>
      <x:c r="B9" s="22" t="str">
        <x:v>A</x:v>
      </x:c>
      <x:c r="C9" s="22" t="str">
        <x:v>同行评议·应用验证</x:v>
      </x:c>
      <x:c r="D9" s="22" t="str">
        <x:v>PySCF核心与生态</x:v>
      </x:c>
      <x:c r="E9" s="22" t="str">
        <x:v>GPU4PySCF</x:v>
      </x:c>
      <x:c r="F9" s="22" t="str">
        <x:v>Accurate QM/MM Molecular Dynamics for Periodic Systems in GPU4PySCF with Applications to Enzyme Catalysis</x:v>
      </x:c>
      <x:c r="G9" s="22" t="str">
        <x:v>Chenghan Li, Garnet K.-L. Chan</x:v>
      </x:c>
      <x:c r="H9" s="104" t="n">
        <x:v>2025</x:v>
      </x:c>
      <x:c r="I9" s="22" t="str">
        <x:v>Journal of Chemical Theory and Computation</x:v>
      </x:c>
      <x:c r="J9" s="22" t="str">
        <x:v>21, 803–816</x:v>
      </x:c>
      <x:c r="K9" s="22" t="str">
        <x:v>10.1021/acs.jctc.4c01698</x:v>
      </x:c>
      <x:c r="L9" s="22" t="str">
        <x:v>方法实现/应用</x:v>
      </x:c>
      <x:c r="M9" s="22" t="str">
        <x:v>否/作者版本可能可得</x:v>
      </x:c>
      <x:c r="N9" s="22" t="str">
        <x:v>验证周期QM/MM、能量守恒和实际催化应用</x:v>
      </x:c>
      <x:c r="O9" s="22" t="str">
        <x:v>说明PySCF不仅适合单点能，也可承载复杂、可复现的动力学工作流。</x:v>
      </x:c>
      <x:c r="P9" s="22" t="str">
        <x:v>https://doi.org/10.1021/acs.jctc.4c01698</x:v>
      </x:c>
      <x:c r="Q9" s="30" t="str">
        <x:v>对可视化时间序列和场动画有启发。</x:v>
      </x:c>
    </x:row>
    <x:row r="10" ht="42" customHeight="1">
      <x:c r="A10" s="29" t="str">
        <x:v>L006</x:v>
      </x:c>
      <x:c r="B10" s="22" t="str">
        <x:v>A</x:v>
      </x:c>
      <x:c r="C10" s="22" t="str">
        <x:v>同行评议·方法平台</x:v>
      </x:c>
      <x:c r="D10" s="22" t="str">
        <x:v>PySCF核心与生态</x:v>
      </x:c>
      <x:c r="E10" s="22" t="str">
        <x:v>PySCFAD</x:v>
      </x:c>
      <x:c r="F10" s="22" t="str">
        <x:v>Differentiable quantum chemistry with PySCF for molecules and materials at the mean-field level and beyond</x:v>
      </x:c>
      <x:c r="G10" s="22" t="str">
        <x:v>Xing Zhang, Garnet K.-L. Chan</x:v>
      </x:c>
      <x:c r="H10" s="104" t="n">
        <x:v>2022</x:v>
      </x:c>
      <x:c r="I10" s="22" t="str">
        <x:v>The Journal of Chemical Physics</x:v>
      </x:c>
      <x:c r="J10" s="22" t="str">
        <x:v>157, 204801</x:v>
      </x:c>
      <x:c r="K10" s="22" t="str">
        <x:v>10.1063/5.0118200</x:v>
      </x:c>
      <x:c r="L10" s="22" t="str">
        <x:v>可微分量子化学</x:v>
      </x:c>
      <x:c r="M10" s="22" t="str">
        <x:v>是</x:v>
      </x:c>
      <x:c r="N10" s="22" t="str">
        <x:v>证明PySCF适合方法开发、自动微分和分子/材料统一工作流</x:v>
      </x:c>
      <x:c r="O10" s="22" t="str">
        <x:v>为未来交互式参数扫描、逆向设计和可视化敏感性分析提供方向。</x:v>
      </x:c>
      <x:c r="P10" s="22" t="str">
        <x:v>https://doi.org/10.1063/5.0118200</x:v>
      </x:c>
      <x:c r="Q10" s="30" t="str">
        <x:v>核心生态论文。</x:v>
      </x:c>
    </x:row>
    <x:row r="11" ht="42" customHeight="1">
      <x:c r="A11" s="29" t="str">
        <x:v>L007</x:v>
      </x:c>
      <x:c r="B11" s="22" t="str">
        <x:v>B</x:v>
      </x:c>
      <x:c r="C11" s="22" t="str">
        <x:v>同行评议·扩展软件</x:v>
      </x:c>
      <x:c r="D11" s="22" t="str">
        <x:v>PySCF核心与生态</x:v>
      </x:c>
      <x:c r="E11" s="22" t="str">
        <x:v>PyQMC</x:v>
      </x:c>
      <x:c r="F11" s="22" t="str">
        <x:v>PyQMC: An all-Python real-space quantum Monte Carlo module in PySCF</x:v>
      </x:c>
      <x:c r="G11" s="22" t="str">
        <x:v>William A. Wheeler et al.</x:v>
      </x:c>
      <x:c r="H11" s="104" t="n">
        <x:v>2023</x:v>
      </x:c>
      <x:c r="I11" s="22" t="str">
        <x:v>The Journal of Chemical Physics</x:v>
      </x:c>
      <x:c r="J11" s="22" t="str">
        <x:v>158, 114801</x:v>
      </x:c>
      <x:c r="K11" s="22" t="str">
        <x:v>10.1063/5.0139024</x:v>
      </x:c>
      <x:c r="L11" s="22" t="str">
        <x:v>扩展软件论文</x:v>
      </x:c>
      <x:c r="M11" s="22" t="str">
        <x:v>是</x:v>
      </x:c>
      <x:c r="N11" s="22" t="str">
        <x:v>证明PySCF可作为高精度相关电子方法的互操作底座</x:v>
      </x:c>
      <x:c r="O11" s="22" t="str">
        <x:v>项目架构应保留多计算后端和多场类型扩展接口。</x:v>
      </x:c>
      <x:c r="P11" s="22" t="str">
        <x:v>https://doi.org/10.1063/5.0139024</x:v>
      </x:c>
      <x:c r="Q11" s="30" t="str">
        <x:v>生态深度证据。</x:v>
      </x:c>
    </x:row>
    <x:row r="12" ht="42" customHeight="1">
      <x:c r="A12" s="29" t="str">
        <x:v>L008</x:v>
      </x:c>
      <x:c r="B12" s="22" t="str">
        <x:v>B</x:v>
      </x:c>
      <x:c r="C12" s="22" t="str">
        <x:v>同行评议·扩展方法</x:v>
      </x:c>
      <x:c r="D12" s="22" t="str">
        <x:v>PySCF核心与生态</x:v>
      </x:c>
      <x:c r="E12" s="22" t="str">
        <x:v>PySCF RT-TDDFT</x:v>
      </x:c>
      <x:c r="F12" s="22" t="str">
        <x:v>Implementation of real-time time-dependent density functional theory for periodic systems in the open-source PySCF software package</x:v>
      </x:c>
      <x:c r="G12" s="22" t="str">
        <x:v>Hanasaki et al.</x:v>
      </x:c>
      <x:c r="H12" s="104" t="n">
        <x:v>2023</x:v>
      </x:c>
      <x:c r="I12" s="22" t="str">
        <x:v>Journal of Computational Chemistry</x:v>
      </x:c>
      <x:c r="J12" s="22" t="str">
        <x:v>以DOI元数据为准</x:v>
      </x:c>
      <x:c r="K12" s="22" t="str">
        <x:v>10.1002/jcc.27058</x:v>
      </x:c>
      <x:c r="L12" s="22" t="str">
        <x:v>周期实时TDDFT</x:v>
      </x:c>
      <x:c r="M12" s="22" t="str">
        <x:v>部分</x:v>
      </x:c>
      <x:c r="N12" s="22" t="str">
        <x:v>确认周期体系时间相关场数据的潜在来源</x:v>
      </x:c>
      <x:c r="O12" s="22" t="str">
        <x:v>可发展轨道/密度随时间变化的VDB序列与Blender动画。</x:v>
      </x:c>
      <x:c r="P12" s="22" t="str">
        <x:v>https://doi.org/10.1002/jcc.27058</x:v>
      </x:c>
      <x:c r="Q12" s="30" t="str">
        <x:v>下载时核对完整元数据。</x:v>
      </x:c>
    </x:row>
    <x:row r="13" ht="42" customHeight="1">
      <x:c r="A13" s="29" t="str">
        <x:v>L009</x:v>
      </x:c>
      <x:c r="B13" s="22" t="str">
        <x:v>B</x:v>
      </x:c>
      <x:c r="C13" s="22" t="str">
        <x:v>官方文档·自述</x:v>
      </x:c>
      <x:c r="D13" s="22" t="str">
        <x:v>采用度与维护</x:v>
      </x:c>
      <x:c r="E13" s="22" t="str">
        <x:v>PySCF</x:v>
      </x:c>
      <x:c r="F13" s="22" t="str">
        <x:v>About PySCF</x:v>
      </x:c>
      <x:c r="G13" s="22" t="str">
        <x:v>PySCF Project</x:v>
      </x:c>
      <x:c r="H13" s="104" t="n">
        <x:v>2026</x:v>
      </x:c>
      <x:c r="I13" s="22" t="str">
        <x:v>PySCF official documentation</x:v>
      </x:c>
      <x:c r="J13" s="22" t="str">
        <x:v>网页</x:v>
      </x:c>
      <x:c r="K13" s="22" t="str"/>
      <x:c r="L13" s="22" t="str">
        <x:v>官方项目说明</x:v>
      </x:c>
      <x:c r="M13" s="22" t="str">
        <x:v>是</x:v>
      </x:c>
      <x:c r="N13" s="22" t="str">
        <x:v>项目历史、许可、维护者以及“超过100个团队日常依赖”的自述</x:v>
      </x:c>
      <x:c r="O13" s="22" t="str">
        <x:v>可作为采用度代理，但必须标注为项目方自述。</x:v>
      </x:c>
      <x:c r="P13" s="22" t="str">
        <x:v>https://pyscf.org/about.html</x:v>
      </x:c>
      <x:c r="Q13" s="30" t="str">
        <x:v>非独立用户调查。</x:v>
      </x:c>
    </x:row>
    <x:row r="14" ht="42" customHeight="1">
      <x:c r="A14" s="29" t="str">
        <x:v>L010</x:v>
      </x:c>
      <x:c r="B14" s="22" t="str">
        <x:v>B</x:v>
      </x:c>
      <x:c r="C14" s="22" t="str">
        <x:v>官方源码</x:v>
      </x:c>
      <x:c r="D14" s="22" t="str">
        <x:v>数据格式与可视化</x:v>
      </x:c>
      <x:c r="E14" s="22" t="str">
        <x:v>PySCF cubegen</x:v>
      </x:c>
      <x:c r="F14" s="22" t="str">
        <x:v>pyscf.tools.cubegen source and Gaussian cube implementation</x:v>
      </x:c>
      <x:c r="G14" s="22" t="str">
        <x:v>PySCF Developers</x:v>
      </x:c>
      <x:c r="H14" s="104" t="n">
        <x:v>2026</x:v>
      </x:c>
      <x:c r="I14" s="22" t="str">
        <x:v>GitHub source code</x:v>
      </x:c>
      <x:c r="J14" s="22" t="str">
        <x:v>源码</x:v>
      </x:c>
      <x:c r="K14" s="22" t="str"/>
      <x:c r="L14" s="22" t="str">
        <x:v>实现证据</x:v>
      </x:c>
      <x:c r="M14" s="22" t="str">
        <x:v>是</x:v>
      </x:c>
      <x:c r="N14" s="22" t="str">
        <x:v>核查密度、轨道、MEP的网格计算、单位、原点、轴向和周期边界语义</x:v>
      </x:c>
      <x:c r="O14" s="22" t="str">
        <x:v>转换器必须保留仿射网格、单位和周期端点语义，而不是只读三维数组。</x:v>
      </x:c>
      <x:c r="P14" s="22" t="str">
        <x:v>https://github.com/pyscf/pyscf/blob/master/pyscf/tools/cubegen.py</x:v>
      </x:c>
      <x:c r="Q14" s="30" t="str">
        <x:v>轨道注释单位应在产品元数据层按物理量类型规范化。</x:v>
      </x:c>
    </x:row>
    <x:row r="15" ht="42" customHeight="1">
      <x:c r="A15" s="29" t="str">
        <x:v>L011</x:v>
      </x:c>
      <x:c r="B15" s="22" t="str">
        <x:v>B</x:v>
      </x:c>
      <x:c r="C15" s="22" t="str">
        <x:v>官方仓库</x:v>
      </x:c>
      <x:c r="D15" s="22" t="str">
        <x:v>采用度与维护</x:v>
      </x:c>
      <x:c r="E15" s="22" t="str">
        <x:v>PySCF</x:v>
      </x:c>
      <x:c r="F15" s="22" t="str">
        <x:v>PySCF GitHub repository, FEATURES and CHANGELOG</x:v>
      </x:c>
      <x:c r="G15" s="22" t="str">
        <x:v>PySCF Developers</x:v>
      </x:c>
      <x:c r="H15" s="104" t="n">
        <x:v>2026</x:v>
      </x:c>
      <x:c r="I15" s="22" t="str">
        <x:v>GitHub</x:v>
      </x:c>
      <x:c r="J15" s="22" t="str">
        <x:v>v2.14.0, 2026-07-17</x:v>
      </x:c>
      <x:c r="K15" s="22" t="str"/>
      <x:c r="L15" s="22" t="str">
        <x:v>维护成熟度证据</x:v>
      </x:c>
      <x:c r="M15" s="22" t="str">
        <x:v>是</x:v>
      </x:c>
      <x:c r="N15" s="22" t="str">
        <x:v>确认持续发布、CI、功能范围、扩展生态和许可证</x:v>
      </x:c>
      <x:c r="O15" s="22" t="str">
        <x:v>活跃维护是可信度的一部分，但不等同于数值正确性证明。</x:v>
      </x:c>
      <x:c r="P15" s="22" t="str">
        <x:v>https://github.com/pyscf/pyscf</x:v>
      </x:c>
      <x:c r="Q15" s="30" t="str">
        <x:v>检索日期2026-07-19。</x:v>
      </x:c>
    </x:row>
    <x:row r="16" ht="42" customHeight="1">
      <x:c r="A16" s="29" t="str">
        <x:v>L012</x:v>
      </x:c>
      <x:c r="B16" s="22" t="str">
        <x:v>A</x:v>
      </x:c>
      <x:c r="C16" s="22" t="str">
        <x:v>同行评议·独立综述</x:v>
      </x:c>
      <x:c r="D16" s="22" t="str">
        <x:v>综述与软件工程</x:v>
      </x:c>
      <x:c r="E16" s="22" t="str">
        <x:v>FOSS量子化学</x:v>
      </x:c>
      <x:c r="F16" s="22" t="str">
        <x:v>Free and open source software for computational chemistry education</x:v>
      </x:c>
      <x:c r="G16" s="22" t="str">
        <x:v>Susi Lehtola</x:v>
      </x:c>
      <x:c r="H16" s="104" t="n">
        <x:v>2022</x:v>
      </x:c>
      <x:c r="I16" s="22" t="str">
        <x:v>WIREs Computational Molecular Science</x:v>
      </x:c>
      <x:c r="J16" s="22" t="str">
        <x:v>12, e1610</x:v>
      </x:c>
      <x:c r="K16" s="22" t="str">
        <x:v>10.1002/wcms.1610</x:v>
      </x:c>
      <x:c r="L16" s="22" t="str">
        <x:v>综述</x:v>
      </x:c>
      <x:c r="M16" s="22" t="str">
        <x:v>是</x:v>
      </x:c>
      <x:c r="N16" s="22" t="str">
        <x:v>独立讨论FOSS、可检查源码、可修改性、教学与学术/工业使用</x:v>
      </x:c>
      <x:c r="O16" s="22" t="str">
        <x:v>支持PySCF在透明性和方法开发方面的优势，但不构成市场占有率证明。</x:v>
      </x:c>
      <x:c r="P16" s="22" t="str">
        <x:v>https://doi.org/10.1002/wcms.1610</x:v>
      </x:c>
      <x:c r="Q16" s="30" t="str">
        <x:v>核心必读。</x:v>
      </x:c>
    </x:row>
    <x:row r="17" ht="42" customHeight="1">
      <x:c r="A17" s="29" t="str">
        <x:v>L013</x:v>
      </x:c>
      <x:c r="B17" s="22" t="str">
        <x:v>A</x:v>
      </x:c>
      <x:c r="C17" s="22" t="str">
        <x:v>同行评议·观点/综述</x:v>
      </x:c>
      <x:c r="D17" s="22" t="str">
        <x:v>综述与软件工程</x:v>
      </x:c>
      <x:c r="E17" s="22" t="str">
        <x:v>计算化学软件生态</x:v>
      </x:c>
      <x:c r="F17" s="22" t="str">
        <x:v>A Perspective on Sustainable Computational Chemistry Software Development and Integration</x:v>
      </x:c>
      <x:c r="G17" s="22" t="str">
        <x:v>Di Felice et al.</x:v>
      </x:c>
      <x:c r="H17" s="104" t="n">
        <x:v>2023</x:v>
      </x:c>
      <x:c r="I17" s="22" t="str">
        <x:v>Journal of Chemical Theory and Computation</x:v>
      </x:c>
      <x:c r="J17" s="22" t="str">
        <x:v>19, 7056–7076</x:v>
      </x:c>
      <x:c r="K17" s="22" t="str">
        <x:v>10.1021/acs.jctc.3c00419</x:v>
      </x:c>
      <x:c r="L17" s="22" t="str">
        <x:v>Perspective</x:v>
      </x:c>
      <x:c r="M17" s="22" t="str">
        <x:v>是</x:v>
      </x:c>
      <x:c r="N17" s="22" t="str">
        <x:v>软件可持续性、模块化、稳定API、测试、文档和标准化</x:v>
      </x:c>
      <x:c r="O17" s="22" t="str">
        <x:v>项目竞争力应来自可持续且引擎无关的工作流，而非绑定单一后端。</x:v>
      </x:c>
      <x:c r="P17" s="22" t="str">
        <x:v>https://doi.org/10.1021/acs.jctc.3c00419</x:v>
      </x:c>
      <x:c r="Q17" s="30" t="str">
        <x:v>核心必读。</x:v>
      </x:c>
    </x:row>
    <x:row r="18" ht="42" customHeight="1">
      <x:c r="A18" s="29" t="str">
        <x:v>L014</x:v>
      </x:c>
      <x:c r="B18" s="22" t="str">
        <x:v>B</x:v>
      </x:c>
      <x:c r="C18" s="22" t="str">
        <x:v>同行评议·社论</x:v>
      </x:c>
      <x:c r="D18" s="22" t="str">
        <x:v>综述与软件工程</x:v>
      </x:c>
      <x:c r="E18" s="22" t="str">
        <x:v>电子结构软件</x:v>
      </x:c>
      <x:c r="F18" s="22" t="str">
        <x:v>Sustainable Electronic Structure Software for Everyone, Everywhere</x:v>
      </x:c>
      <x:c r="G18" s="22" t="str">
        <x:v>Laura Gagliardi</x:v>
      </x:c>
      <x:c r="H18" s="104" t="n">
        <x:v>2023</x:v>
      </x:c>
      <x:c r="I18" s="22" t="str">
        <x:v>Journal of Chemical Theory and Computation</x:v>
      </x:c>
      <x:c r="J18" s="22" t="str">
        <x:v>19, 7049–7050</x:v>
      </x:c>
      <x:c r="K18" s="22" t="str">
        <x:v>10.1021/acs.jctc.3c00968</x:v>
      </x:c>
      <x:c r="L18" s="22" t="str">
        <x:v>Editorial</x:v>
      </x:c>
      <x:c r="M18" s="22" t="str">
        <x:v>是</x:v>
      </x:c>
      <x:c r="N18" s="22" t="str">
        <x:v>开放、可持续、社区化电子结构软件的宏观背景</x:v>
      </x:c>
      <x:c r="O18" s="22" t="str">
        <x:v>可作为项目使命和社区合作部分的论据。</x:v>
      </x:c>
      <x:c r="P18" s="22" t="str">
        <x:v>https://doi.org/10.1021/acs.jctc.3c00968</x:v>
      </x:c>
      <x:c r="Q18" s="30" t="str">
        <x:v>宏观背景。</x:v>
      </x:c>
    </x:row>
    <x:row r="19" ht="42" customHeight="1">
      <x:c r="A19" s="29" t="str">
        <x:v>L015</x:v>
      </x:c>
      <x:c r="B19" s="22" t="str">
        <x:v>A</x:v>
      </x:c>
      <x:c r="C19" s="22" t="str">
        <x:v>同行评议·Perspective</x:v>
      </x:c>
      <x:c r="D19" s="22" t="str">
        <x:v>综述与软件工程</x:v>
      </x:c>
      <x:c r="E19" s="22" t="str">
        <x:v>ORCA</x:v>
      </x:c>
      <x:c r="F19" s="22" t="str">
        <x:v>A perspective on the future of quantum chemical software: the example of the ORCA program package</x:v>
      </x:c>
      <x:c r="G19" s="22" t="str">
        <x:v>Frank Neese et al.</x:v>
      </x:c>
      <x:c r="H19" s="104" t="n">
        <x:v>2024</x:v>
      </x:c>
      <x:c r="I19" s="22" t="str">
        <x:v>Faraday Discussions</x:v>
      </x:c>
      <x:c r="J19" s="22" t="str">
        <x:v>以DOI元数据为准</x:v>
      </x:c>
      <x:c r="K19" s="22" t="str">
        <x:v>10.1039/D4FD00056K</x:v>
      </x:c>
      <x:c r="L19" s="22" t="str">
        <x:v>Perspective</x:v>
      </x:c>
      <x:c r="M19" s="22" t="str">
        <x:v>部分</x:v>
      </x:c>
      <x:c r="N19" s="22" t="str">
        <x:v>从大型成熟程序视角讨论未来软件架构、算法与用户需求</x:v>
      </x:c>
      <x:c r="O19" s="22" t="str">
        <x:v>有助于避免把“Python框架”和“集成程序包”放在同一维度粗暴排名。</x:v>
      </x:c>
      <x:c r="P19" s="22" t="str">
        <x:v>https://doi.org/10.1039/D4FD00056K</x:v>
      </x:c>
      <x:c r="Q19" s="30" t="str">
        <x:v>核心对照阅读。</x:v>
      </x:c>
    </x:row>
    <x:row r="20" ht="42" customHeight="1">
      <x:c r="A20" s="29" t="str">
        <x:v>L016</x:v>
      </x:c>
      <x:c r="B20" s="22" t="str">
        <x:v>A</x:v>
      </x:c>
      <x:c r="C20" s="22" t="str">
        <x:v>同行评议·数值实践</x:v>
      </x:c>
      <x:c r="D20" s="22" t="str">
        <x:v>数值可靠性与基准</x:v>
      </x:c>
      <x:c r="E20" s="22" t="str">
        <x:v>DFT</x:v>
      </x:c>
      <x:c r="F20" s="22" t="str">
        <x:v>The devil in the details: A tutorial review on some underestimated aspects of density functional theory calculations</x:v>
      </x:c>
      <x:c r="G20" s="22" t="str">
        <x:v>Pierpaolo Morgante, Roberto Peverati</x:v>
      </x:c>
      <x:c r="H20" s="104" t="n">
        <x:v>2020</x:v>
      </x:c>
      <x:c r="I20" s="22" t="str">
        <x:v>International Journal of Quantum Chemistry</x:v>
      </x:c>
      <x:c r="J20" s="22" t="str">
        <x:v>120, e26332</x:v>
      </x:c>
      <x:c r="K20" s="22" t="str">
        <x:v>10.1002/qua.26332</x:v>
      </x:c>
      <x:c r="L20" s="22" t="str">
        <x:v>Tutorial review</x:v>
      </x:c>
      <x:c r="M20" s="22" t="str">
        <x:v>是</x:v>
      </x:c>
      <x:c r="N20" s="22" t="str">
        <x:v>说明基组、积分网格、收敛和默认设置可显著影响结果</x:v>
      </x:c>
      <x:c r="O20" s="22" t="str">
        <x:v>不能用软件品牌替代计算协议；问卷应询问默认设置与验证习惯。</x:v>
      </x:c>
      <x:c r="P20" s="22" t="str">
        <x:v>https://doi.org/10.1002/qua.26332</x:v>
      </x:c>
      <x:c r="Q20" s="30" t="str">
        <x:v>核心必读。</x:v>
      </x:c>
    </x:row>
    <x:row r="21" ht="42" customHeight="1">
      <x:c r="A21" s="29" t="str">
        <x:v>L017</x:v>
      </x:c>
      <x:c r="B21" s="22" t="str">
        <x:v>A</x:v>
      </x:c>
      <x:c r="C21" s="22" t="str">
        <x:v>同行评议·基准指南</x:v>
      </x:c>
      <x:c r="D21" s="22" t="str">
        <x:v>数值可靠性与基准</x:v>
      </x:c>
      <x:c r="E21" s="22" t="str">
        <x:v>DFT数据库</x:v>
      </x:c>
      <x:c r="F21" s="22" t="str">
        <x:v>Good Practices in Database Generation for Benchmarking Density Functional Theory</x:v>
      </x:c>
      <x:c r="G21" s="22" t="str">
        <x:v>Karton et al.</x:v>
      </x:c>
      <x:c r="H21" s="104" t="n">
        <x:v>2025</x:v>
      </x:c>
      <x:c r="I21" s="22" t="str">
        <x:v>WIREs Computational Molecular Science</x:v>
      </x:c>
      <x:c r="J21" s="22" t="str">
        <x:v>以DOI元数据为准</x:v>
      </x:c>
      <x:c r="K21" s="22" t="str">
        <x:v>10.1002/wcms.1737</x:v>
      </x:c>
      <x:c r="L21" s="22" t="str">
        <x:v>实践指南/综述</x:v>
      </x:c>
      <x:c r="M21" s="22" t="str">
        <x:v>部分</x:v>
      </x:c>
      <x:c r="N21" s="22" t="str">
        <x:v>规范跨程序、跨方法基准数据的构造与报告</x:v>
      </x:c>
      <x:c r="O21" s="22" t="str">
        <x:v>为PySCF与Gaussian/ORCA对照验证矩阵提供方法学基础。</x:v>
      </x:c>
      <x:c r="P21" s="22" t="str">
        <x:v>https://doi.org/10.1002/wcms.1737</x:v>
      </x:c>
      <x:c r="Q21" s="30" t="str">
        <x:v>下载时核对完整作者列表。</x:v>
      </x:c>
    </x:row>
    <x:row r="22" ht="42" customHeight="1">
      <x:c r="A22" s="29" t="str">
        <x:v>L018</x:v>
      </x:c>
      <x:c r="B22" s="22" t="str">
        <x:v>B</x:v>
      </x:c>
      <x:c r="C22" s="22" t="str">
        <x:v>同行评议·综述</x:v>
      </x:c>
      <x:c r="D22" s="22" t="str">
        <x:v>数值可靠性与基准</x:v>
      </x:c>
      <x:c r="E22" s="22" t="str">
        <x:v>基组</x:v>
      </x:c>
      <x:c r="F22" s="22" t="str">
        <x:v>Gaussian basis sets for molecular applications</x:v>
      </x:c>
      <x:c r="G22" s="22" t="str">
        <x:v>J. Grant Hill</x:v>
      </x:c>
      <x:c r="H22" s="104" t="n">
        <x:v>2013</x:v>
      </x:c>
      <x:c r="I22" s="22" t="str">
        <x:v>International Journal of Quantum Chemistry</x:v>
      </x:c>
      <x:c r="J22" s="22" t="str">
        <x:v>113, 21–34</x:v>
      </x:c>
      <x:c r="K22" s="22" t="str">
        <x:v>10.1002/qua.24355</x:v>
      </x:c>
      <x:c r="L22" s="22" t="str">
        <x:v>基组综述</x:v>
      </x:c>
      <x:c r="M22" s="22" t="str">
        <x:v>部分</x:v>
      </x:c>
      <x:c r="N22" s="22" t="str">
        <x:v>解释基组选择与收敛，对跨代码复现至关重要</x:v>
      </x:c>
      <x:c r="O22" s="22" t="str">
        <x:v>工作流元数据必须强制记录基组、ECP和辅助基组。</x:v>
      </x:c>
      <x:c r="P22" s="22" t="str">
        <x:v>https://doi.org/10.1002/qua.24355</x:v>
      </x:c>
      <x:c r="Q22" s="30" t="str">
        <x:v>数值验证基础。</x:v>
      </x:c>
    </x:row>
    <x:row r="23" ht="42" customHeight="1">
      <x:c r="A23" s="29" t="str">
        <x:v>L019</x:v>
      </x:c>
      <x:c r="B23" s="22" t="str">
        <x:v>B</x:v>
      </x:c>
      <x:c r="C23" s="22" t="str">
        <x:v>同行评议·数值方法</x:v>
      </x:c>
      <x:c r="D23" s="22" t="str">
        <x:v>数值可靠性与基准</x:v>
      </x:c>
      <x:c r="E23" s="22" t="str">
        <x:v>DFT积分网格</x:v>
      </x:c>
      <x:c r="F23" s="22" t="str">
        <x:v>Standard grids for high-precision integration of modern density functionals: SG-2 and SG-3</x:v>
      </x:c>
      <x:c r="G23" s="22" t="str">
        <x:v>Saswata Dasgupta, John M. Herbert</x:v>
      </x:c>
      <x:c r="H23" s="104" t="n">
        <x:v>2017</x:v>
      </x:c>
      <x:c r="I23" s="22" t="str">
        <x:v>Journal of Computational Chemistry</x:v>
      </x:c>
      <x:c r="J23" s="22" t="str">
        <x:v>38, 869–882</x:v>
      </x:c>
      <x:c r="K23" s="22" t="str">
        <x:v>10.1002/jcc.24761</x:v>
      </x:c>
      <x:c r="L23" s="22" t="str">
        <x:v>网格方法/基准</x:v>
      </x:c>
      <x:c r="M23" s="22" t="str">
        <x:v>部分</x:v>
      </x:c>
      <x:c r="N23" s="22" t="str">
        <x:v>支持对DFT网格和修剪策略进行显式控制</x:v>
      </x:c>
      <x:c r="O23" s="22" t="str">
        <x:v>对比PySCF、Gaussian、Q-Chem时必须统一积分精度，而非只统一泛函名称。</x:v>
      </x:c>
      <x:c r="P23" s="22" t="str">
        <x:v>https://doi.org/10.1002/jcc.24761</x:v>
      </x:c>
      <x:c r="Q23" s="30" t="str">
        <x:v>核心数值细节。</x:v>
      </x:c>
    </x:row>
    <x:row r="24" ht="42" customHeight="1">
      <x:c r="A24" s="29" t="str">
        <x:v>L020</x:v>
      </x:c>
      <x:c r="B24" s="22" t="str">
        <x:v>B</x:v>
      </x:c>
      <x:c r="C24" s="22" t="str">
        <x:v>同行评议·误差分析</x:v>
      </x:c>
      <x:c r="D24" s="22" t="str">
        <x:v>数值可靠性与基准</x:v>
      </x:c>
      <x:c r="E24" s="22" t="str">
        <x:v>M06/DFT网格</x:v>
      </x:c>
      <x:c r="F24" s="22" t="str">
        <x:v>Integration grid errors for meta-GGA-predicted reaction energies: Origin of grid errors for the M06 suite of functionals</x:v>
      </x:c>
      <x:c r="G24" s="22" t="str">
        <x:v>Steven E. Wheeler et al.</x:v>
      </x:c>
      <x:c r="H24" s="104" t="n">
        <x:v>2010</x:v>
      </x:c>
      <x:c r="I24" s="22" t="str">
        <x:v>Journal of Chemical Theory and Computation</x:v>
      </x:c>
      <x:c r="J24" s="22" t="str">
        <x:v>6, 395–404</x:v>
      </x:c>
      <x:c r="K24" s="22" t="str">
        <x:v>10.1021/ct900639j</x:v>
      </x:c>
      <x:c r="L24" s="22" t="str">
        <x:v>误差分析</x:v>
      </x:c>
      <x:c r="M24" s="22" t="str">
        <x:v>部分</x:v>
      </x:c>
      <x:c r="N24" s="22" t="str">
        <x:v>展示积分网格对现代泛函的非平凡误差</x:v>
      </x:c>
      <x:c r="O24" s="22" t="str">
        <x:v>结果差异可能来自默认网格而非程序实现本身。</x:v>
      </x:c>
      <x:c r="P24" s="22" t="str">
        <x:v>https://doi.org/10.1021/ct900639j</x:v>
      </x:c>
      <x:c r="Q24" s="30" t="str">
        <x:v>页码以DOI元数据为准。</x:v>
      </x:c>
    </x:row>
    <x:row r="25" ht="42" customHeight="1">
      <x:c r="A25" s="29" t="str">
        <x:v>L021</x:v>
      </x:c>
      <x:c r="B25" s="22" t="str">
        <x:v>B</x:v>
      </x:c>
      <x:c r="C25" s="22" t="str">
        <x:v>同行评议·数据基础设施</x:v>
      </x:c>
      <x:c r="D25" s="22" t="str">
        <x:v>互操作与工作流</x:v>
      </x:c>
      <x:c r="E25" s="22" t="str">
        <x:v>Basis Set Exchange</x:v>
      </x:c>
      <x:c r="F25" s="22" t="str">
        <x:v>New Basis Set Exchange: An Open, Up-to-Date Resource for the Molecular Sciences Community</x:v>
      </x:c>
      <x:c r="G25" s="22" t="str">
        <x:v>Benjamin P. Pritchard et al.</x:v>
      </x:c>
      <x:c r="H25" s="104" t="n">
        <x:v>2019</x:v>
      </x:c>
      <x:c r="I25" s="22" t="str">
        <x:v>Journal of Chemical Information and Modeling</x:v>
      </x:c>
      <x:c r="J25" s="22" t="str">
        <x:v>59, 4814–4820</x:v>
      </x:c>
      <x:c r="K25" s="22" t="str">
        <x:v>10.1021/acs.jcim.9b00725</x:v>
      </x:c>
      <x:c r="L25" s="22" t="str">
        <x:v>数据库/基础设施</x:v>
      </x:c>
      <x:c r="M25" s="22" t="str">
        <x:v>是</x:v>
      </x:c>
      <x:c r="N25" s="22" t="str">
        <x:v>基组和ECP的标准化、可追溯来源</x:v>
      </x:c>
      <x:c r="O25" s="22" t="str">
        <x:v>产品应保存BSE名称、版本或哈希，减少程序内置库差异。</x:v>
      </x:c>
      <x:c r="P25" s="22" t="str">
        <x:v>https://doi.org/10.1021/acs.jcim.9b00725</x:v>
      </x:c>
      <x:c r="Q25" s="30" t="str">
        <x:v>下载时复核DOI元数据。</x:v>
      </x:c>
    </x:row>
    <x:row r="26" ht="42" customHeight="1">
      <x:c r="A26" s="29" t="str">
        <x:v>L022</x:v>
      </x:c>
      <x:c r="B26" s="22" t="str">
        <x:v>B</x:v>
      </x:c>
      <x:c r="C26" s="22" t="str">
        <x:v>同行评议·基础库</x:v>
      </x:c>
      <x:c r="D26" s="22" t="str">
        <x:v>互操作与工作流</x:v>
      </x:c>
      <x:c r="E26" s="22" t="str">
        <x:v>Libxc</x:v>
      </x:c>
      <x:c r="F26" s="22" t="str">
        <x:v>Recent developments in libxc — A comprehensive library of functionals for density functional theory</x:v>
      </x:c>
      <x:c r="G26" s="22" t="str">
        <x:v>Susi Lehtola et al.</x:v>
      </x:c>
      <x:c r="H26" s="104" t="n">
        <x:v>2018</x:v>
      </x:c>
      <x:c r="I26" s="22" t="str">
        <x:v>SoftwareX</x:v>
      </x:c>
      <x:c r="J26" s="22" t="str">
        <x:v>7, 1–5</x:v>
      </x:c>
      <x:c r="K26" s="22" t="str">
        <x:v>10.1016/j.softx.2017.11.002</x:v>
      </x:c>
      <x:c r="L26" s="22" t="str">
        <x:v>基础库软件论文</x:v>
      </x:c>
      <x:c r="M26" s="22" t="str">
        <x:v>是</x:v>
      </x:c>
      <x:c r="N26" s="22" t="str">
        <x:v>说明多个量子化学程序共享泛函实现库的事实</x:v>
      </x:c>
      <x:c r="O26" s="22" t="str">
        <x:v>跨程序比较时应记录XC库及版本，避免把共享库差异误归因于前端程序。</x:v>
      </x:c>
      <x:c r="P26" s="22" t="str">
        <x:v>https://doi.org/10.1016/j.softx.2017.11.002</x:v>
      </x:c>
      <x:c r="Q26" s="30" t="str">
        <x:v>PySCF DFT引用之一。</x:v>
      </x:c>
    </x:row>
    <x:row r="27" ht="42" customHeight="1">
      <x:c r="A27" s="29" t="str">
        <x:v>L023</x:v>
      </x:c>
      <x:c r="B27" s="22" t="str">
        <x:v>A</x:v>
      </x:c>
      <x:c r="C27" s="22" t="str">
        <x:v>官方软件引用</x:v>
      </x:c>
      <x:c r="D27" s="22" t="str">
        <x:v>主流量子化学软件</x:v>
      </x:c>
      <x:c r="E27" s="22" t="str">
        <x:v>Gaussian</x:v>
      </x:c>
      <x:c r="F27" s="22" t="str">
        <x:v>Gaussian 16, Revision C.01</x:v>
      </x:c>
      <x:c r="G27" s="22" t="str">
        <x:v>M. J. Frisch et al.</x:v>
      </x:c>
      <x:c r="H27" s="104" t="n">
        <x:v>2016</x:v>
      </x:c>
      <x:c r="I27" s="22" t="str">
        <x:v>Gaussian, Inc.</x:v>
      </x:c>
      <x:c r="J27" s="22" t="str">
        <x:v>Wallingford CT</x:v>
      </x:c>
      <x:c r="K27" s="22" t="str"/>
      <x:c r="L27" s="22" t="str">
        <x:v>商业软件引用</x:v>
      </x:c>
      <x:c r="M27" s="22" t="str">
        <x:v>否</x:v>
      </x:c>
      <x:c r="N27" s="22" t="str">
        <x:v>Gaussian的标准软件引用与版本标识</x:v>
      </x:c>
      <x:c r="O27" s="22" t="str">
        <x:v>Gaussian是成熟集成程序包；它不是与PySCF完全同类的Python库。</x:v>
      </x:c>
      <x:c r="P27" s="22" t="str">
        <x:v>https://gaussian.com/citation/</x:v>
      </x:c>
      <x:c r="Q27" s="30" t="str">
        <x:v>商业许可；比较时固定revision和route参数。</x:v>
      </x:c>
    </x:row>
    <x:row r="28" ht="42" customHeight="1">
      <x:c r="A28" s="29" t="str">
        <x:v>L024</x:v>
      </x:c>
      <x:c r="B28" s="22" t="str">
        <x:v>A</x:v>
      </x:c>
      <x:c r="C28" s="22" t="str">
        <x:v>同行评议·软件论文</x:v>
      </x:c>
      <x:c r="D28" s="22" t="str">
        <x:v>主流量子化学软件</x:v>
      </x:c>
      <x:c r="E28" s="22" t="str">
        <x:v>ORCA</x:v>
      </x:c>
      <x:c r="F28" s="22" t="str">
        <x:v>Software update: The ORCA program system—Version 5.0</x:v>
      </x:c>
      <x:c r="G28" s="22" t="str">
        <x:v>Frank Neese</x:v>
      </x:c>
      <x:c r="H28" s="104" t="n">
        <x:v>2022</x:v>
      </x:c>
      <x:c r="I28" s="22" t="str">
        <x:v>WIREs Computational Molecular Science</x:v>
      </x:c>
      <x:c r="J28" s="22" t="str">
        <x:v>12, e1606</x:v>
      </x:c>
      <x:c r="K28" s="22" t="str">
        <x:v>10.1002/wcms.1606</x:v>
      </x:c>
      <x:c r="L28" s="22" t="str">
        <x:v>软件更新/综述</x:v>
      </x:c>
      <x:c r="M28" s="22" t="str">
        <x:v>是</x:v>
      </x:c>
      <x:c r="N28" s="22" t="str">
        <x:v>评估ORCA的广泛方法覆盖、易用性和用户采用证据</x:v>
      </x:c>
      <x:c r="O28" s="22" t="str">
        <x:v>ORCA是问卷中必须列出的主要对照程序。</x:v>
      </x:c>
      <x:c r="P28" s="22" t="str">
        <x:v>https://doi.org/10.1002/wcms.1606</x:v>
      </x:c>
      <x:c r="Q28" s="30" t="str">
        <x:v>作者自述用户数应标注来源属性。</x:v>
      </x:c>
    </x:row>
    <x:row r="29" ht="42" customHeight="1">
      <x:c r="A29" s="29" t="str">
        <x:v>L025</x:v>
      </x:c>
      <x:c r="B29" s="22" t="str">
        <x:v>B</x:v>
      </x:c>
      <x:c r="C29" s="22" t="str">
        <x:v>同行评议·软件更新</x:v>
      </x:c>
      <x:c r="D29" s="22" t="str">
        <x:v>主流量子化学软件</x:v>
      </x:c>
      <x:c r="E29" s="22" t="str">
        <x:v>ORCA</x:v>
      </x:c>
      <x:c r="F29" s="22" t="str">
        <x:v>The ORCA quantum chemistry program package, version 6.0</x:v>
      </x:c>
      <x:c r="G29" s="22" t="str">
        <x:v>Frank Neese et al.</x:v>
      </x:c>
      <x:c r="H29" s="104" t="n">
        <x:v>2025</x:v>
      </x:c>
      <x:c r="I29" s="22" t="str">
        <x:v>WIREs Computational Molecular Science</x:v>
      </x:c>
      <x:c r="J29" s="22" t="str">
        <x:v>15, e70019</x:v>
      </x:c>
      <x:c r="K29" s="22" t="str">
        <x:v>10.1002/wcms.70019</x:v>
      </x:c>
      <x:c r="L29" s="22" t="str">
        <x:v>软件更新</x:v>
      </x:c>
      <x:c r="M29" s="22" t="str">
        <x:v>是</x:v>
      </x:c>
      <x:c r="N29" s="22" t="str">
        <x:v>追踪ORCA最新功能和架构演进</x:v>
      </x:c>
      <x:c r="O29" s="22" t="str">
        <x:v>问卷应按具体版本/最近12个月使用情况提问。</x:v>
      </x:c>
      <x:c r="P29" s="22" t="str">
        <x:v>https://doi.org/10.1002/wcms.70019</x:v>
      </x:c>
      <x:c r="Q29" s="30" t="str">
        <x:v>检索日期2026-07-19。</x:v>
      </x:c>
    </x:row>
    <x:row r="30" ht="42" customHeight="1">
      <x:c r="A30" s="29" t="str">
        <x:v>L026</x:v>
      </x:c>
      <x:c r="B30" s="22" t="str">
        <x:v>A</x:v>
      </x:c>
      <x:c r="C30" s="22" t="str">
        <x:v>同行评议·软件论文</x:v>
      </x:c>
      <x:c r="D30" s="22" t="str">
        <x:v>主流量子化学软件</x:v>
      </x:c>
      <x:c r="E30" s="22" t="str">
        <x:v>Psi4</x:v>
      </x:c>
      <x:c r="F30" s="22" t="str">
        <x:v>Psi4 1.4: Open-source software for high-throughput quantum chemistry</x:v>
      </x:c>
      <x:c r="G30" s="22" t="str">
        <x:v>Daniel G. A. Smith et al.</x:v>
      </x:c>
      <x:c r="H30" s="104" t="n">
        <x:v>2020</x:v>
      </x:c>
      <x:c r="I30" s="22" t="str">
        <x:v>The Journal of Chemical Physics</x:v>
      </x:c>
      <x:c r="J30" s="22" t="str">
        <x:v>152, 184108</x:v>
      </x:c>
      <x:c r="K30" s="22" t="str">
        <x:v>10.1063/5.0006002</x:v>
      </x:c>
      <x:c r="L30" s="22" t="str">
        <x:v>软件论文</x:v>
      </x:c>
      <x:c r="M30" s="22" t="str">
        <x:v>是</x:v>
      </x:c>
      <x:c r="N30" s="22" t="str">
        <x:v>PySCF在Python、高通量、开放生态方向的重要对照</x:v>
      </x:c>
      <x:c r="O30" s="22" t="str">
        <x:v>引擎抽象层至少应考虑PySCF/Psi4的Python式工作流。</x:v>
      </x:c>
      <x:c r="P30" s="22" t="str">
        <x:v>https://doi.org/10.1063/5.0006002</x:v>
      </x:c>
      <x:c r="Q30" s="30" t="str">
        <x:v>核心对照。</x:v>
      </x:c>
    </x:row>
    <x:row r="31" ht="42" customHeight="1">
      <x:c r="A31" s="29" t="str">
        <x:v>L027</x:v>
      </x:c>
      <x:c r="B31" s="22" t="str">
        <x:v>A</x:v>
      </x:c>
      <x:c r="C31" s="22" t="str">
        <x:v>同行评议·软件论文</x:v>
      </x:c>
      <x:c r="D31" s="22" t="str">
        <x:v>主流量子化学软件</x:v>
      </x:c>
      <x:c r="E31" s="22" t="str">
        <x:v>Q-Chem</x:v>
      </x:c>
      <x:c r="F31" s="22" t="str">
        <x:v>Software for the frontiers of quantum chemistry: An overview of developments in the Q-Chem 5 package</x:v>
      </x:c>
      <x:c r="G31" s="22" t="str">
        <x:v>Evgeny Epifanovsky et al.</x:v>
      </x:c>
      <x:c r="H31" s="104" t="n">
        <x:v>2021</x:v>
      </x:c>
      <x:c r="I31" s="22" t="str">
        <x:v>The Journal of Chemical Physics</x:v>
      </x:c>
      <x:c r="J31" s="22" t="str">
        <x:v>155, 084801</x:v>
      </x:c>
      <x:c r="K31" s="22" t="str">
        <x:v>10.1063/5.0055522</x:v>
      </x:c>
      <x:c r="L31" s="22" t="str">
        <x:v>软件综述</x:v>
      </x:c>
      <x:c r="M31" s="22" t="str">
        <x:v>作者版本可得</x:v>
      </x:c>
      <x:c r="N31" s="22" t="str">
        <x:v>商业/团队式软件开发、方法覆盖和社区规模对照</x:v>
      </x:c>
      <x:c r="O31" s="22" t="str">
        <x:v>Q-Chem代表研究前沿与商业支持并存的另一种模式。</x:v>
      </x:c>
      <x:c r="P31" s="22" t="str">
        <x:v>https://doi.org/10.1063/5.0055522</x:v>
      </x:c>
      <x:c r="Q31" s="30" t="str">
        <x:v>核心对照。</x:v>
      </x:c>
    </x:row>
    <x:row r="32" ht="42" customHeight="1">
      <x:c r="A32" s="29" t="str">
        <x:v>L028</x:v>
      </x:c>
      <x:c r="B32" s="22" t="str">
        <x:v>A</x:v>
      </x:c>
      <x:c r="C32" s="22" t="str">
        <x:v>同行评议·软件论文</x:v>
      </x:c>
      <x:c r="D32" s="22" t="str">
        <x:v>主流量子化学软件</x:v>
      </x:c>
      <x:c r="E32" s="22" t="str">
        <x:v>NWChem</x:v>
      </x:c>
      <x:c r="F32" s="22" t="str">
        <x:v>NWChem: Past, present, and future</x:v>
      </x:c>
      <x:c r="G32" s="22" t="str">
        <x:v>Edoardo Aprà et al.</x:v>
      </x:c>
      <x:c r="H32" s="104" t="n">
        <x:v>2020</x:v>
      </x:c>
      <x:c r="I32" s="22" t="str">
        <x:v>The Journal of Chemical Physics</x:v>
      </x:c>
      <x:c r="J32" s="22" t="str">
        <x:v>152, 184102</x:v>
      </x:c>
      <x:c r="K32" s="22" t="str">
        <x:v>10.1063/5.0004997</x:v>
      </x:c>
      <x:c r="L32" s="22" t="str">
        <x:v>软件综述</x:v>
      </x:c>
      <x:c r="M32" s="22" t="str">
        <x:v>是</x:v>
      </x:c>
      <x:c r="N32" s="22" t="str">
        <x:v>HPC、并行和分子/凝聚相多方法平台对照</x:v>
      </x:c>
      <x:c r="O32" s="22" t="str">
        <x:v>大型体系和集群用户的需求可能不同于桌面Blender工作流。</x:v>
      </x:c>
      <x:c r="P32" s="22" t="str">
        <x:v>https://doi.org/10.1063/5.0004997</x:v>
      </x:c>
      <x:c r="Q32" s="30" t="str">
        <x:v>核心HPC对照。</x:v>
      </x:c>
    </x:row>
    <x:row r="33" ht="42" customHeight="1">
      <x:c r="A33" s="29" t="str">
        <x:v>L029</x:v>
      </x:c>
      <x:c r="B33" s="22" t="str">
        <x:v>A</x:v>
      </x:c>
      <x:c r="C33" s="22" t="str">
        <x:v>同行评议·软件论文</x:v>
      </x:c>
      <x:c r="D33" s="22" t="str">
        <x:v>主流量子化学软件</x:v>
      </x:c>
      <x:c r="E33" s="22" t="str">
        <x:v>CP2K</x:v>
      </x:c>
      <x:c r="F33" s="22" t="str">
        <x:v>CP2K: An electronic structure and molecular dynamics software package—Quickstep: Efficient and accurate electronic structure calculations</x:v>
      </x:c>
      <x:c r="G33" s="22" t="str">
        <x:v>Thomas D. Kühne et al.</x:v>
      </x:c>
      <x:c r="H33" s="104" t="n">
        <x:v>2020</x:v>
      </x:c>
      <x:c r="I33" s="22" t="str">
        <x:v>The Journal of Chemical Physics</x:v>
      </x:c>
      <x:c r="J33" s="22" t="str">
        <x:v>152, 194103</x:v>
      </x:c>
      <x:c r="K33" s="22" t="str">
        <x:v>10.1063/5.0007045</x:v>
      </x:c>
      <x:c r="L33" s="22" t="str">
        <x:v>软件综述</x:v>
      </x:c>
      <x:c r="M33" s="22" t="str">
        <x:v>是</x:v>
      </x:c>
      <x:c r="N33" s="22" t="str">
        <x:v>周期、液体、AIMD、GPW方法和HPC对照</x:v>
      </x:c>
      <x:c r="O33" s="22" t="str">
        <x:v>若扩展周期场和时间序列，CP2K是高优先级输入后端。</x:v>
      </x:c>
      <x:c r="P33" s="22" t="str">
        <x:v>https://doi.org/10.1063/5.0007045</x:v>
      </x:c>
      <x:c r="Q33" s="30" t="str">
        <x:v>核心周期体系对照。</x:v>
      </x:c>
    </x:row>
    <x:row r="34" ht="42" customHeight="1">
      <x:c r="A34" s="29" t="str">
        <x:v>L030</x:v>
      </x:c>
      <x:c r="B34" s="22" t="str">
        <x:v>A</x:v>
      </x:c>
      <x:c r="C34" s="22" t="str">
        <x:v>同行评议·软件论文</x:v>
      </x:c>
      <x:c r="D34" s="22" t="str">
        <x:v>主流量子化学软件</x:v>
      </x:c>
      <x:c r="E34" s="22" t="str">
        <x:v>OpenMolcas</x:v>
      </x:c>
      <x:c r="F34" s="22" t="str">
        <x:v>Modern quantum chemistry with [Open]Molcas</x:v>
      </x:c>
      <x:c r="G34" s="22" t="str">
        <x:v>Francesco Aquilante et al.</x:v>
      </x:c>
      <x:c r="H34" s="104" t="n">
        <x:v>2020</x:v>
      </x:c>
      <x:c r="I34" s="22" t="str">
        <x:v>The Journal of Chemical Physics</x:v>
      </x:c>
      <x:c r="J34" s="22" t="str">
        <x:v>152, 214117</x:v>
      </x:c>
      <x:c r="K34" s="22" t="str">
        <x:v>10.1063/5.0004835</x:v>
      </x:c>
      <x:c r="L34" s="22" t="str">
        <x:v>软件综述</x:v>
      </x:c>
      <x:c r="M34" s="22" t="str">
        <x:v>是</x:v>
      </x:c>
      <x:c r="N34" s="22" t="str">
        <x:v>多参考、光化学、磁性和强相关体系对照</x:v>
      </x:c>
      <x:c r="O34" s="22" t="str">
        <x:v>NTO、态密度、跃迁密度等高级可视化应兼容多参考程序输出。</x:v>
      </x:c>
      <x:c r="P34" s="22" t="str">
        <x:v>https://doi.org/10.1063/5.0004835</x:v>
      </x:c>
      <x:c r="Q34" s="30" t="str">
        <x:v>核心多参考对照。</x:v>
      </x:c>
    </x:row>
    <x:row r="35" ht="42" customHeight="1">
      <x:c r="A35" s="29" t="str">
        <x:v>L031</x:v>
      </x:c>
      <x:c r="B35" s="22" t="str">
        <x:v>B</x:v>
      </x:c>
      <x:c r="C35" s="22" t="str">
        <x:v>同行评议·社区软件</x:v>
      </x:c>
      <x:c r="D35" s="22" t="str">
        <x:v>主流量子化学软件</x:v>
      </x:c>
      <x:c r="E35" s="22" t="str">
        <x:v>OpenMolcas</x:v>
      </x:c>
      <x:c r="F35" s="22" t="str">
        <x:v>The OpenMolcas Web: A Community-Driven Approach to Advancing Computational Chemistry</x:v>
      </x:c>
      <x:c r="G35" s="22" t="str">
        <x:v>Giovanni Li Manni et al.</x:v>
      </x:c>
      <x:c r="H35" s="104" t="n">
        <x:v>2023</x:v>
      </x:c>
      <x:c r="I35" s="22" t="str">
        <x:v>Journal of Chemical Theory and Computation</x:v>
      </x:c>
      <x:c r="J35" s="22" t="str">
        <x:v>19, 6933–6991</x:v>
      </x:c>
      <x:c r="K35" s="22" t="str">
        <x:v>10.1021/acs.jctc.3c00182</x:v>
      </x:c>
      <x:c r="L35" s="22" t="str">
        <x:v>软件生态综述</x:v>
      </x:c>
      <x:c r="M35" s="22" t="str">
        <x:v>是</x:v>
      </x:c>
      <x:c r="N35" s="22" t="str">
        <x:v>社区驱动、接口生态和多参考能力的最新进展</x:v>
      </x:c>
      <x:c r="O35" s="22" t="str">
        <x:v>说明开放软件认可度也来自长期社区和专业领域深度。</x:v>
      </x:c>
      <x:c r="P35" s="22" t="str">
        <x:v>https://doi.org/10.1021/acs.jctc.3c00182</x:v>
      </x:c>
      <x:c r="Q35" s="30" t="str">
        <x:v>核心补充。</x:v>
      </x:c>
    </x:row>
    <x:row r="36" ht="42" customHeight="1">
      <x:c r="A36" s="29" t="str">
        <x:v>L032</x:v>
      </x:c>
      <x:c r="B36" s="22" t="str">
        <x:v>B</x:v>
      </x:c>
      <x:c r="C36" s="22" t="str">
        <x:v>同行评议·软件论文</x:v>
      </x:c>
      <x:c r="D36" s="22" t="str">
        <x:v>主流量子化学软件</x:v>
      </x:c>
      <x:c r="E36" s="22" t="str">
        <x:v>Molpro</x:v>
      </x:c>
      <x:c r="F36" s="22" t="str">
        <x:v>The Molpro quantum chemistry package</x:v>
      </x:c>
      <x:c r="G36" s="22" t="str">
        <x:v>Hans-Joachim Werner et al.</x:v>
      </x:c>
      <x:c r="H36" s="104" t="n">
        <x:v>2020</x:v>
      </x:c>
      <x:c r="I36" s="22" t="str">
        <x:v>The Journal of Chemical Physics</x:v>
      </x:c>
      <x:c r="J36" s="22" t="str">
        <x:v>152, 144107</x:v>
      </x:c>
      <x:c r="K36" s="22" t="str">
        <x:v>10.1063/5.0005081</x:v>
      </x:c>
      <x:c r="L36" s="22" t="str">
        <x:v>软件综述</x:v>
      </x:c>
      <x:c r="M36" s="22" t="str">
        <x:v>部分</x:v>
      </x:c>
      <x:c r="N36" s="22" t="str">
        <x:v>高精度波函数、多参考与局域相关对照</x:v>
      </x:c>
      <x:c r="O36" s="22" t="str">
        <x:v>高精度用户的信任标准通常高于仅看总能量一致。</x:v>
      </x:c>
      <x:c r="P36" s="22" t="str">
        <x:v>https://doi.org/10.1063/5.0005081</x:v>
      </x:c>
      <x:c r="Q36" s="30" t="str">
        <x:v>专业高精度对照。</x:v>
      </x:c>
    </x:row>
    <x:row r="37" ht="42" customHeight="1">
      <x:c r="A37" s="29" t="str">
        <x:v>L033</x:v>
      </x:c>
      <x:c r="B37" s="22" t="str">
        <x:v>B</x:v>
      </x:c>
      <x:c r="C37" s="22" t="str">
        <x:v>同行评议·软件论文</x:v>
      </x:c>
      <x:c r="D37" s="22" t="str">
        <x:v>主流量子化学软件</x:v>
      </x:c>
      <x:c r="E37" s="22" t="str">
        <x:v>TeraChem</x:v>
      </x:c>
      <x:c r="F37" s="22" t="str">
        <x:v>TeraChem: A graphical processing unit-accelerated electronic structure package</x:v>
      </x:c>
      <x:c r="G37" s="22" t="str">
        <x:v>Stephanie Seritan et al.</x:v>
      </x:c>
      <x:c r="H37" s="104" t="n">
        <x:v>2021</x:v>
      </x:c>
      <x:c r="I37" s="22" t="str">
        <x:v>WIREs Computational Molecular Science</x:v>
      </x:c>
      <x:c r="J37" s="22" t="str">
        <x:v>11, e1494</x:v>
      </x:c>
      <x:c r="K37" s="22" t="str">
        <x:v>10.1002/wcms.1494</x:v>
      </x:c>
      <x:c r="L37" s="22" t="str">
        <x:v>GPU软件综述</x:v>
      </x:c>
      <x:c r="M37" s="22" t="str">
        <x:v>部分</x:v>
      </x:c>
      <x:c r="N37" s="22" t="str">
        <x:v>GPU原生量子化学程序与GPU4PySCF的对照</x:v>
      </x:c>
      <x:c r="O37" s="22" t="str">
        <x:v>性能调查应区分GPU可用性、方法覆盖和总工作流成本。</x:v>
      </x:c>
      <x:c r="P37" s="22" t="str">
        <x:v>https://doi.org/10.1002/wcms.1494</x:v>
      </x:c>
      <x:c r="Q37" s="30" t="str">
        <x:v>题名请以DOI页面为准。</x:v>
      </x:c>
    </x:row>
    <x:row r="38" ht="42" customHeight="1">
      <x:c r="A38" s="29" t="str">
        <x:v>L034</x:v>
      </x:c>
      <x:c r="B38" s="22" t="str">
        <x:v>B</x:v>
      </x:c>
      <x:c r="C38" s="22" t="str">
        <x:v>同行评议·软件论文</x:v>
      </x:c>
      <x:c r="D38" s="22" t="str">
        <x:v>主流量子化学软件</x:v>
      </x:c>
      <x:c r="E38" s="22" t="str">
        <x:v>GAMESS</x:v>
      </x:c>
      <x:c r="F38" s="22" t="str">
        <x:v>The General Atomic and Molecular Electronic Structure System (GAMESS): Novel methods on a modern code</x:v>
      </x:c>
      <x:c r="G38" s="22" t="str">
        <x:v>Federico Zahariev et al.</x:v>
      </x:c>
      <x:c r="H38" s="104" t="n">
        <x:v>2023</x:v>
      </x:c>
      <x:c r="I38" s="22" t="str">
        <x:v>Journal of Chemical Theory and Computation</x:v>
      </x:c>
      <x:c r="J38" s="22" t="str">
        <x:v>19, 7031–7055</x:v>
      </x:c>
      <x:c r="K38" s="22" t="str">
        <x:v>10.1021/acs.jctc.3c00379</x:v>
      </x:c>
      <x:c r="L38" s="22" t="str">
        <x:v>软件综述</x:v>
      </x:c>
      <x:c r="M38" s="22" t="str">
        <x:v>是</x:v>
      </x:c>
      <x:c r="N38" s="22" t="str">
        <x:v>长期维护、广泛方法和HPC对照</x:v>
      </x:c>
      <x:c r="O38" s="22" t="str">
        <x:v>问卷应覆盖长期传统程序，而非只列当前热门项目。</x:v>
      </x:c>
      <x:c r="P38" s="22" t="str">
        <x:v>https://doi.org/10.1021/acs.jctc.3c00379</x:v>
      </x:c>
      <x:c r="Q38" s="30" t="str">
        <x:v>题名请以DOI页面为准。</x:v>
      </x:c>
    </x:row>
    <x:row r="39" ht="42" customHeight="1">
      <x:c r="A39" s="29" t="str">
        <x:v>L035</x:v>
      </x:c>
      <x:c r="B39" s="22" t="str">
        <x:v>B</x:v>
      </x:c>
      <x:c r="C39" s="22" t="str">
        <x:v>同行评议·软件论文</x:v>
      </x:c>
      <x:c r="D39" s="22" t="str">
        <x:v>主流量子化学软件</x:v>
      </x:c>
      <x:c r="E39" s="22" t="str">
        <x:v>CFOUR</x:v>
      </x:c>
      <x:c r="F39" s="22" t="str">
        <x:v>Coupled-cluster techniques for computational chemistry: The CFOUR program package</x:v>
      </x:c>
      <x:c r="G39" s="22" t="str">
        <x:v>Devin A. Matthews et al.</x:v>
      </x:c>
      <x:c r="H39" s="104" t="n">
        <x:v>2020</x:v>
      </x:c>
      <x:c r="I39" s="22" t="str">
        <x:v>The Journal of Chemical Physics</x:v>
      </x:c>
      <x:c r="J39" s="22" t="str">
        <x:v>152, 214108</x:v>
      </x:c>
      <x:c r="K39" s="22" t="str">
        <x:v>10.1063/5.0004837</x:v>
      </x:c>
      <x:c r="L39" s="22" t="str">
        <x:v>高精度软件综述</x:v>
      </x:c>
      <x:c r="M39" s="22" t="str">
        <x:v>部分</x:v>
      </x:c>
      <x:c r="N39" s="22" t="str">
        <x:v>高阶耦合簇、谱学和基准参考</x:v>
      </x:c>
      <x:c r="O39" s="22" t="str">
        <x:v>跨代码验证可用CFOUR/Molpro作为小体系高精度参照。</x:v>
      </x:c>
      <x:c r="P39" s="22" t="str">
        <x:v>https://doi.org/10.1063/5.0004837</x:v>
      </x:c>
      <x:c r="Q39" s="30" t="str">
        <x:v>页码以DOI元数据为准。</x:v>
      </x:c>
    </x:row>
    <x:row r="40" ht="42" customHeight="1">
      <x:c r="A40" s="29" t="str">
        <x:v>L036</x:v>
      </x:c>
      <x:c r="B40" s="22" t="str">
        <x:v>B</x:v>
      </x:c>
      <x:c r="C40" s="22" t="str">
        <x:v>同行评议·软件论文</x:v>
      </x:c>
      <x:c r="D40" s="22" t="str">
        <x:v>主流量子化学软件</x:v>
      </x:c>
      <x:c r="E40" s="22" t="str">
        <x:v>DFTB+</x:v>
      </x:c>
      <x:c r="F40" s="22" t="str">
        <x:v>DFTB+, a software package for efficient approximate density functional theory based atomistic simulations</x:v>
      </x:c>
      <x:c r="G40" s="22" t="str">
        <x:v>Ben Hourahine et al.</x:v>
      </x:c>
      <x:c r="H40" s="104" t="n">
        <x:v>2020</x:v>
      </x:c>
      <x:c r="I40" s="22" t="str">
        <x:v>The Journal of Chemical Physics</x:v>
      </x:c>
      <x:c r="J40" s="22" t="str">
        <x:v>152, 124101</x:v>
      </x:c>
      <x:c r="K40" s="22" t="str">
        <x:v>10.1063/1.5143190</x:v>
      </x:c>
      <x:c r="L40" s="22" t="str">
        <x:v>近似方法软件论文</x:v>
      </x:c>
      <x:c r="M40" s="22" t="str">
        <x:v>是</x:v>
      </x:c>
      <x:c r="N40" s="22" t="str">
        <x:v>大体系、近似量子方法和材料模拟对照</x:v>
      </x:c>
      <x:c r="O40" s="22" t="str">
        <x:v>可视化后端不应把所有“量子化学结果”限定为高成本从头算。</x:v>
      </x:c>
      <x:c r="P40" s="22" t="str">
        <x:v>https://doi.org/10.1063/1.5143190</x:v>
      </x:c>
      <x:c r="Q40" s="30" t="str">
        <x:v>大体系场可视化候选。</x:v>
      </x:c>
    </x:row>
    <x:row r="41" ht="42" customHeight="1">
      <x:c r="A41" s="29" t="str">
        <x:v>L037</x:v>
      </x:c>
      <x:c r="B41" s="22" t="str">
        <x:v>B</x:v>
      </x:c>
      <x:c r="C41" s="22" t="str">
        <x:v>同行评议·软件论文</x:v>
      </x:c>
      <x:c r="D41" s="22" t="str">
        <x:v>主流量子化学软件</x:v>
      </x:c>
      <x:c r="E41" s="22" t="str">
        <x:v>Quantum ESPRESSO</x:v>
      </x:c>
      <x:c r="F41" s="22" t="str">
        <x:v>Advanced capabilities for materials modelling with Quantum ESPRESSO</x:v>
      </x:c>
      <x:c r="G41" s="22" t="str">
        <x:v>Paolo Giannozzi et al.</x:v>
      </x:c>
      <x:c r="H41" s="104" t="n">
        <x:v>2017</x:v>
      </x:c>
      <x:c r="I41" s="22" t="str">
        <x:v>Journal of Physics: Condensed Matter</x:v>
      </x:c>
      <x:c r="J41" s="22" t="str">
        <x:v>29, 465901</x:v>
      </x:c>
      <x:c r="K41" s="22" t="str">
        <x:v>10.1088/1361-648X/aa8f79</x:v>
      </x:c>
      <x:c r="L41" s="22" t="str">
        <x:v>软件综述</x:v>
      </x:c>
      <x:c r="M41" s="22" t="str">
        <x:v>是</x:v>
      </x:c>
      <x:c r="N41" s="22" t="str">
        <x:v>平面波、周期材料和社区软件对照</x:v>
      </x:c>
      <x:c r="O41" s="22" t="str">
        <x:v>VDB稀疏体数据尤其适合周期材料的大网格场。</x:v>
      </x:c>
      <x:c r="P41" s="22" t="str">
        <x:v>https://doi.org/10.1088/1361-648X/aa8f79</x:v>
      </x:c>
      <x:c r="Q41" s="30" t="str">
        <x:v>周期体系核心。</x:v>
      </x:c>
    </x:row>
    <x:row r="42" ht="42" customHeight="1">
      <x:c r="A42" s="29" t="str">
        <x:v>L038</x:v>
      </x:c>
      <x:c r="B42" s="22" t="str">
        <x:v>B</x:v>
      </x:c>
      <x:c r="C42" s="22" t="str">
        <x:v>同行评议·软件更新</x:v>
      </x:c>
      <x:c r="D42" s="22" t="str">
        <x:v>主流量子化学软件</x:v>
      </x:c>
      <x:c r="E42" s="22" t="str">
        <x:v>Quantum ESPRESSO</x:v>
      </x:c>
      <x:c r="F42" s="22" t="str">
        <x:v>Quantum ESPRESSO toward the exascale</x:v>
      </x:c>
      <x:c r="G42" s="22" t="str">
        <x:v>Paolo Giannozzi et al.</x:v>
      </x:c>
      <x:c r="H42" s="104" t="n">
        <x:v>2020</x:v>
      </x:c>
      <x:c r="I42" s="22" t="str">
        <x:v>The Journal of Chemical Physics</x:v>
      </x:c>
      <x:c r="J42" s="22" t="str">
        <x:v>152, 154105</x:v>
      </x:c>
      <x:c r="K42" s="22" t="str">
        <x:v>10.1063/5.0005082</x:v>
      </x:c>
      <x:c r="L42" s="22" t="str">
        <x:v>HPC软件更新</x:v>
      </x:c>
      <x:c r="M42" s="22" t="str">
        <x:v>是</x:v>
      </x:c>
      <x:c r="N42" s="22" t="str">
        <x:v>并行与exascale架构趋势</x:v>
      </x:c>
      <x:c r="O42" s="22" t="str">
        <x:v>后续若处理大规模周期网格，应设计流式转换和并行I/O。</x:v>
      </x:c>
      <x:c r="P42" s="22" t="str">
        <x:v>https://doi.org/10.1063/5.0005082</x:v>
      </x:c>
      <x:c r="Q42" s="30" t="str">
        <x:v>HPC方向。</x:v>
      </x:c>
    </x:row>
    <x:row r="43" ht="42" customHeight="1">
      <x:c r="A43" s="29" t="str">
        <x:v>L039</x:v>
      </x:c>
      <x:c r="B43" s="22" t="str">
        <x:v>B</x:v>
      </x:c>
      <x:c r="C43" s="22" t="str">
        <x:v>同行评议·经典软件方法</x:v>
      </x:c>
      <x:c r="D43" s="22" t="str">
        <x:v>主流量子化学软件</x:v>
      </x:c>
      <x:c r="E43" s="22" t="str">
        <x:v>VASP</x:v>
      </x:c>
      <x:c r="F43" s="22" t="str">
        <x:v>Efficient iterative schemes for ab initio total-energy calculations using a plane-wave basis set</x:v>
      </x:c>
      <x:c r="G43" s="22" t="str">
        <x:v>Georg Kresse, Jürgen Furthmüller</x:v>
      </x:c>
      <x:c r="H43" s="104" t="n">
        <x:v>1996</x:v>
      </x:c>
      <x:c r="I43" s="22" t="str">
        <x:v>Physical Review B</x:v>
      </x:c>
      <x:c r="J43" s="22" t="str">
        <x:v>54, 11169–11186</x:v>
      </x:c>
      <x:c r="K43" s="22" t="str">
        <x:v>10.1103/PhysRevB.54.11169</x:v>
      </x:c>
      <x:c r="L43" s="22" t="str">
        <x:v>经典方法/软件基础</x:v>
      </x:c>
      <x:c r="M43" s="22" t="str">
        <x:v>否</x:v>
      </x:c>
      <x:c r="N43" s="22" t="str">
        <x:v>VASP平面波工作流的基础参考</x:v>
      </x:c>
      <x:c r="O43" s="22" t="str">
        <x:v>材料领域用户很可能优先使用VASP而非PySCF。</x:v>
      </x:c>
      <x:c r="P43" s="22" t="str">
        <x:v>https://doi.org/10.1103/PhysRevB.54.11169</x:v>
      </x:c>
      <x:c r="Q43" s="30" t="str">
        <x:v>问卷需区分分子与材料领域。</x:v>
      </x:c>
    </x:row>
    <x:row r="44" ht="42" customHeight="1">
      <x:c r="A44" s="29" t="str">
        <x:v>L040</x:v>
      </x:c>
      <x:c r="B44" s="22" t="str">
        <x:v>B</x:v>
      </x:c>
      <x:c r="C44" s="22" t="str">
        <x:v>同行评议·软件论文</x:v>
      </x:c>
      <x:c r="D44" s="22" t="str">
        <x:v>主流量子化学软件</x:v>
      </x:c>
      <x:c r="E44" s="22" t="str">
        <x:v>FHI-aims</x:v>
      </x:c>
      <x:c r="F44" s="22" t="str">
        <x:v>Ab initio molecular simulations with numeric atom-centered orbitals</x:v>
      </x:c>
      <x:c r="G44" s="22" t="str">
        <x:v>Volker Blum et al.</x:v>
      </x:c>
      <x:c r="H44" s="104" t="n">
        <x:v>2009</x:v>
      </x:c>
      <x:c r="I44" s="22" t="str">
        <x:v>Computer Physics Communications</x:v>
      </x:c>
      <x:c r="J44" s="22" t="str">
        <x:v>180, 2175–2196</x:v>
      </x:c>
      <x:c r="K44" s="22" t="str">
        <x:v>10.1016/j.cpc.2009.06.022</x:v>
      </x:c>
      <x:c r="L44" s="22" t="str">
        <x:v>软件/方法论文</x:v>
      </x:c>
      <x:c r="M44" s="22" t="str">
        <x:v>部分</x:v>
      </x:c>
      <x:c r="N44" s="22" t="str">
        <x:v>全电子数值原子轨道、分子和固体对照</x:v>
      </x:c>
      <x:c r="O44" s="22" t="str">
        <x:v>场格式抽象不能假定所有后端使用Gaussian型轨道。</x:v>
      </x:c>
      <x:c r="P44" s="22" t="str">
        <x:v>https://doi.org/10.1016/j.cpc.2009.06.022</x:v>
      </x:c>
      <x:c r="Q44" s="30" t="str">
        <x:v>材料/全电子对照。</x:v>
      </x:c>
    </x:row>
    <x:row r="45" ht="42" customHeight="1">
      <x:c r="A45" s="29" t="str">
        <x:v>L041</x:v>
      </x:c>
      <x:c r="B45" s="22" t="str">
        <x:v>B</x:v>
      </x:c>
      <x:c r="C45" s="22" t="str">
        <x:v>同行评议·方法软件</x:v>
      </x:c>
      <x:c r="D45" s="22" t="str">
        <x:v>主流量子化学软件</x:v>
      </x:c>
      <x:c r="E45" s="22" t="str">
        <x:v>xTB</x:v>
      </x:c>
      <x:c r="F45" s="22" t="str">
        <x:v>GFN2-xTB—An accurate and broadly parametrized self-consistent tight-binding quantum chemical method</x:v>
      </x:c>
      <x:c r="G45" s="22" t="str">
        <x:v>Christoph Bannwarth, Sebastian Ehlert, Stefan Grimme</x:v>
      </x:c>
      <x:c r="H45" s="104" t="n">
        <x:v>2019</x:v>
      </x:c>
      <x:c r="I45" s="22" t="str">
        <x:v>Journal of Chemical Theory and Computation</x:v>
      </x:c>
      <x:c r="J45" s="22" t="str">
        <x:v>15, 1652–1671</x:v>
      </x:c>
      <x:c r="K45" s="22" t="str">
        <x:v>10.1021/acs.jctc.8b01176</x:v>
      </x:c>
      <x:c r="L45" s="22" t="str">
        <x:v>半经验/紧束缚方法</x:v>
      </x:c>
      <x:c r="M45" s="22" t="str">
        <x:v>是</x:v>
      </x:c>
      <x:c r="N45" s="22" t="str">
        <x:v>快速大体系预计算和工业高通量场景</x:v>
      </x:c>
      <x:c r="O45" s="22" t="str">
        <x:v>可把xTB作为快速预览/几何优化后端，再接高精度PySCF。</x:v>
      </x:c>
      <x:c r="P45" s="22" t="str">
        <x:v>https://doi.org/10.1021/acs.jctc.8b01176</x:v>
      </x:c>
      <x:c r="Q45" s="30" t="str">
        <x:v>高通量工作流重要。</x:v>
      </x:c>
    </x:row>
    <x:row r="46" ht="42" customHeight="1">
      <x:c r="A46" s="29" t="str">
        <x:v>L042</x:v>
      </x:c>
      <x:c r="B46" s="22" t="str">
        <x:v>C</x:v>
      </x:c>
      <x:c r="C46" s="22" t="str">
        <x:v>同行评议·软件论文</x:v>
      </x:c>
      <x:c r="D46" s="22" t="str">
        <x:v>主流量子化学软件</x:v>
      </x:c>
      <x:c r="E46" s="22" t="str">
        <x:v>ChronusQ</x:v>
      </x:c>
      <x:c r="F46" s="22" t="str">
        <x:v>Chronus Quantum (ChronusQ) software package</x:v>
      </x:c>
      <x:c r="G46" s="22" t="str">
        <x:v>David Williams-Young et al.</x:v>
      </x:c>
      <x:c r="H46" s="104" t="n">
        <x:v>2020</x:v>
      </x:c>
      <x:c r="I46" s="22" t="str">
        <x:v>WIREs Computational Molecular Science</x:v>
      </x:c>
      <x:c r="J46" s="22" t="str">
        <x:v>10, e1436</x:v>
      </x:c>
      <x:c r="K46" s="22" t="str">
        <x:v>10.1002/wcms.1436</x:v>
      </x:c>
      <x:c r="L46" s="22" t="str">
        <x:v>相对论/实时软件</x:v>
      </x:c>
      <x:c r="M46" s="22" t="str">
        <x:v>是</x:v>
      </x:c>
      <x:c r="N46" s="22" t="str">
        <x:v>实时、响应和相对论电子结构程序对照</x:v>
      </x:c>
      <x:c r="O46" s="22" t="str">
        <x:v>高级时间相关可视化可参考其数据类型。</x:v>
      </x:c>
      <x:c r="P46" s="22" t="str">
        <x:v>https://doi.org/10.1002/wcms.1436</x:v>
      </x:c>
      <x:c r="Q46" s="30" t="str">
        <x:v>补充阅读。</x:v>
      </x:c>
    </x:row>
    <x:row r="47" ht="42" customHeight="1">
      <x:c r="A47" s="29" t="str">
        <x:v>L043</x:v>
      </x:c>
      <x:c r="B47" s="22" t="str">
        <x:v>C</x:v>
      </x:c>
      <x:c r="C47" s="22" t="str">
        <x:v>同行评议·软件论文</x:v>
      </x:c>
      <x:c r="D47" s="22" t="str">
        <x:v>主流量子化学软件</x:v>
      </x:c>
      <x:c r="E47" s="22" t="str">
        <x:v>OpenQP</x:v>
      </x:c>
      <x:c r="F47" s="22" t="str">
        <x:v>OpenQP: A modular open-source quantum chemistry software for electronic structure and dynamics</x:v>
      </x:c>
      <x:c r="G47" s="22" t="str">
        <x:v>OpenQP developers</x:v>
      </x:c>
      <x:c r="H47" s="104" t="n">
        <x:v>2024</x:v>
      </x:c>
      <x:c r="I47" s="22" t="str">
        <x:v>Journal of Chemical Theory and Computation</x:v>
      </x:c>
      <x:c r="J47" s="22" t="str">
        <x:v>以DOI元数据为准</x:v>
      </x:c>
      <x:c r="K47" s="22" t="str">
        <x:v>10.1021/acs.jctc.4c01117</x:v>
      </x:c>
      <x:c r="L47" s="22" t="str">
        <x:v>软件论文</x:v>
      </x:c>
      <x:c r="M47" s="22" t="str">
        <x:v>是</x:v>
      </x:c>
      <x:c r="N47" s="22" t="str">
        <x:v>模块化新型量子化学平台的参考</x:v>
      </x:c>
      <x:c r="O47" s="22" t="str">
        <x:v>说明新软件竞争焦点正在转向模块化、动力学和可组合性。</x:v>
      </x:c>
      <x:c r="P47" s="22" t="str">
        <x:v>https://doi.org/10.1021/acs.jctc.4c01117</x:v>
      </x:c>
      <x:c r="Q47" s="30" t="str">
        <x:v>作者和页码下载时核对。</x:v>
      </x:c>
    </x:row>
    <x:row r="48" ht="42" customHeight="1">
      <x:c r="A48" s="29" t="str">
        <x:v>L044</x:v>
      </x:c>
      <x:c r="B48" s="22" t="str">
        <x:v>A</x:v>
      </x:c>
      <x:c r="C48" s="22" t="str">
        <x:v>同行评议·基础设施</x:v>
      </x:c>
      <x:c r="D48" s="22" t="str">
        <x:v>互操作与工作流</x:v>
      </x:c>
      <x:c r="E48" s="22" t="str">
        <x:v>QCArchive</x:v>
      </x:c>
      <x:c r="F48" s="22" t="str">
        <x:v>QCArchive: An open-source platform to compute, organize, and share quantum chemistry data</x:v>
      </x:c>
      <x:c r="G48" s="22" t="str">
        <x:v>Daniel G. A. Smith et al.</x:v>
      </x:c>
      <x:c r="H48" s="104" t="n">
        <x:v>2021</x:v>
      </x:c>
      <x:c r="I48" s="22" t="str">
        <x:v>WIREs Computational Molecular Science</x:v>
      </x:c>
      <x:c r="J48" s="22" t="str">
        <x:v>11, e1491</x:v>
      </x:c>
      <x:c r="K48" s="22" t="str">
        <x:v>10.1002/wcms.1491</x:v>
      </x:c>
      <x:c r="L48" s="22" t="str">
        <x:v>数据/计算基础设施</x:v>
      </x:c>
      <x:c r="M48" s="22" t="str">
        <x:v>是</x:v>
      </x:c>
      <x:c r="N48" s="22" t="str">
        <x:v>标准数据模型、任务编排、结果存档与共享</x:v>
      </x:c>
      <x:c r="O48" s="22" t="str">
        <x:v>项目应把VDB视为派生展示物，原始计算和元数据需独立归档。</x:v>
      </x:c>
      <x:c r="P48" s="22" t="str">
        <x:v>https://doi.org/10.1002/wcms.1491</x:v>
      </x:c>
      <x:c r="Q48" s="30" t="str">
        <x:v>核心工作流参考。</x:v>
      </x:c>
    </x:row>
    <x:row r="49" ht="42" customHeight="1">
      <x:c r="A49" s="29" t="str">
        <x:v>L045</x:v>
      </x:c>
      <x:c r="B49" s="22" t="str">
        <x:v>B</x:v>
      </x:c>
      <x:c r="C49" s="22" t="str">
        <x:v>同行评议·接口标准</x:v>
      </x:c>
      <x:c r="D49" s="22" t="str">
        <x:v>互操作与工作流</x:v>
      </x:c>
      <x:c r="E49" s="22" t="str">
        <x:v>MolSSI Driver Interface</x:v>
      </x:c>
      <x:c r="F49" s="22" t="str">
        <x:v>The MolSSI Driver Interface Project: A framework for standardized, on-demand transformations of quantum chemistry results</x:v>
      </x:c>
      <x:c r="G49" s="22" t="str">
        <x:v>Daniel G. A. Smith et al.</x:v>
      </x:c>
      <x:c r="H49" s="104" t="n">
        <x:v>2021</x:v>
      </x:c>
      <x:c r="I49" s="22" t="str">
        <x:v>Computer Physics Communications</x:v>
      </x:c>
      <x:c r="J49" s="22" t="str">
        <x:v>261, 107688</x:v>
      </x:c>
      <x:c r="K49" s="22" t="str">
        <x:v>10.1016/j.cpc.2020.107688</x:v>
      </x:c>
      <x:c r="L49" s="22" t="str">
        <x:v>接口标准/基础设施</x:v>
      </x:c>
      <x:c r="M49" s="22" t="str">
        <x:v>是</x:v>
      </x:c>
      <x:c r="N49" s="22" t="str">
        <x:v>跨程序标准化输入输出和驱动器概念</x:v>
      </x:c>
      <x:c r="O49" s="22" t="str">
        <x:v>建议采用引擎适配器+标准中间模型，而非在Blender插件中直接耦合PySCF内部对象。</x:v>
      </x:c>
      <x:c r="P49" s="22" t="str">
        <x:v>https://doi.org/10.1016/j.cpc.2020.107688</x:v>
      </x:c>
      <x:c r="Q49" s="30" t="str">
        <x:v>标题请以DOI页面为准。</x:v>
      </x:c>
    </x:row>
    <x:row r="50" ht="42" customHeight="1">
      <x:c r="A50" s="29" t="str">
        <x:v>L046</x:v>
      </x:c>
      <x:c r="B50" s="22" t="str">
        <x:v>A</x:v>
      </x:c>
      <x:c r="C50" s="22" t="str">
        <x:v>同行评议·解析库</x:v>
      </x:c>
      <x:c r="D50" s="22" t="str">
        <x:v>互操作与工作流</x:v>
      </x:c>
      <x:c r="E50" s="22" t="str">
        <x:v>cclib</x:v>
      </x:c>
      <x:c r="F50" s="22" t="str">
        <x:v>cclib: A library for package-independent computational chemistry algorithms</x:v>
      </x:c>
      <x:c r="G50" s="22" t="str">
        <x:v>Noel M. O'Boyle et al.</x:v>
      </x:c>
      <x:c r="H50" s="104" t="n">
        <x:v>2008</x:v>
      </x:c>
      <x:c r="I50" s="22" t="str">
        <x:v>Journal of Computational Chemistry</x:v>
      </x:c>
      <x:c r="J50" s="22" t="str">
        <x:v>29, 839–845</x:v>
      </x:c>
      <x:c r="K50" s="22" t="str">
        <x:v>10.1002/jcc.20823</x:v>
      </x:c>
      <x:c r="L50" s="22" t="str">
        <x:v>解析/互操作软件</x:v>
      </x:c>
      <x:c r="M50" s="22" t="str">
        <x:v>是</x:v>
      </x:c>
      <x:c r="N50" s="22" t="str">
        <x:v>跨量子化学程序输出解析与统一内部表示</x:v>
      </x:c>
      <x:c r="O50" s="22" t="str">
        <x:v>是多引擎导入层的直接先例；可避免只支持PySCF。</x:v>
      </x:c>
      <x:c r="P50" s="22" t="str">
        <x:v>https://doi.org/10.1002/jcc.20823</x:v>
      </x:c>
      <x:c r="Q50" s="30" t="str">
        <x:v>核心互操作参考。</x:v>
      </x:c>
    </x:row>
    <x:row r="51" ht="42" customHeight="1">
      <x:c r="A51" s="29" t="str">
        <x:v>L047</x:v>
      </x:c>
      <x:c r="B51" s="22" t="str">
        <x:v>B</x:v>
      </x:c>
      <x:c r="C51" s="22" t="str">
        <x:v>同行评议·工作流软件</x:v>
      </x:c>
      <x:c r="D51" s="22" t="str">
        <x:v>互操作与工作流</x:v>
      </x:c>
      <x:c r="E51" s="22" t="str">
        <x:v>AQME</x:v>
      </x:c>
      <x:c r="F51" s="22" t="str">
        <x:v>Automated quantum mechanical environments for researchers and educators</x:v>
      </x:c>
      <x:c r="G51" s="22" t="str">
        <x:v>Alegre-Requena et al.</x:v>
      </x:c>
      <x:c r="H51" s="104" t="n">
        <x:v>2023</x:v>
      </x:c>
      <x:c r="I51" s="22" t="str">
        <x:v>WIREs Computational Molecular Science</x:v>
      </x:c>
      <x:c r="J51" s="22" t="str">
        <x:v>13, e1663</x:v>
      </x:c>
      <x:c r="K51" s="22" t="str">
        <x:v>10.1002/wcms.1663</x:v>
      </x:c>
      <x:c r="L51" s="22" t="str">
        <x:v>自动化工作流</x:v>
      </x:c>
      <x:c r="M51" s="22" t="str">
        <x:v>是</x:v>
      </x:c>
      <x:c r="N51" s="22" t="str">
        <x:v>多引擎自动化、协议保存、可复现计算</x:v>
      </x:c>
      <x:c r="O51" s="22" t="str">
        <x:v>产品差异化应覆盖计算协议到可视化，而不只是格式转换。</x:v>
      </x:c>
      <x:c r="P51" s="22" t="str">
        <x:v>https://doi.org/10.1002/wcms.1663</x:v>
      </x:c>
      <x:c r="Q51" s="30" t="str">
        <x:v>支持Gaussian、ORCA、PySCF等。</x:v>
      </x:c>
    </x:row>
    <x:row r="52" ht="42" customHeight="1">
      <x:c r="A52" s="29" t="str">
        <x:v>L048</x:v>
      </x:c>
      <x:c r="B52" s="22" t="str">
        <x:v>B</x:v>
      </x:c>
      <x:c r="C52" s="22" t="str">
        <x:v>同行评议·工作流软件</x:v>
      </x:c>
      <x:c r="D52" s="22" t="str">
        <x:v>互操作与工作流</x:v>
      </x:c>
      <x:c r="E52" s="22" t="str">
        <x:v>WebMO</x:v>
      </x:c>
      <x:c r="F52" s="22" t="str">
        <x:v>WebMO: Web-based computational chemistry calculations in education and research</x:v>
      </x:c>
      <x:c r="G52" s="22" t="str">
        <x:v>WebMO authors</x:v>
      </x:c>
      <x:c r="H52" s="104" t="n">
        <x:v>2022</x:v>
      </x:c>
      <x:c r="I52" s="22" t="str">
        <x:v>WIREs Computational Molecular Science</x:v>
      </x:c>
      <x:c r="J52" s="22" t="str">
        <x:v>12, e1554</x:v>
      </x:c>
      <x:c r="K52" s="22" t="str">
        <x:v>10.1002/wcms.1554</x:v>
      </x:c>
      <x:c r="L52" s="22" t="str">
        <x:v>多引擎前端</x:v>
      </x:c>
      <x:c r="M52" s="22" t="str">
        <x:v>部分</x:v>
      </x:c>
      <x:c r="N52" s="22" t="str">
        <x:v>一个UI连接多个量子化学后端的成熟模式</x:v>
      </x:c>
      <x:c r="O52" s="22" t="str">
        <x:v>研究者更可能认可后端中立前端，而非被迫迁移计算程序。</x:v>
      </x:c>
      <x:c r="P52" s="22" t="str">
        <x:v>https://doi.org/10.1002/wcms.1554</x:v>
      </x:c>
      <x:c r="Q52" s="30" t="str">
        <x:v>作者下载时核对。</x:v>
      </x:c>
    </x:row>
    <x:row r="53" ht="42" customHeight="1">
      <x:c r="A53" s="29" t="str">
        <x:v>L049</x:v>
      </x:c>
      <x:c r="B53" s="22" t="str">
        <x:v>B</x:v>
      </x:c>
      <x:c r="C53" s="22" t="str">
        <x:v>同行评议·工作流软件</x:v>
      </x:c>
      <x:c r="D53" s="22" t="str">
        <x:v>互操作与工作流</x:v>
      </x:c>
      <x:c r="E53" s="22" t="str">
        <x:v>Digichem</x:v>
      </x:c>
      <x:c r="F53" s="22" t="str">
        <x:v>Digichem: Computational chemistry for everyone</x:v>
      </x:c>
      <x:c r="G53" s="22" t="str">
        <x:v>Digichem developers</x:v>
      </x:c>
      <x:c r="H53" s="104" t="n">
        <x:v>2024</x:v>
      </x:c>
      <x:c r="I53" s="22" t="str">
        <x:v>Digital Discovery</x:v>
      </x:c>
      <x:c r="J53" s="22" t="str">
        <x:v>以DOI元数据为准</x:v>
      </x:c>
      <x:c r="K53" s="22" t="str">
        <x:v>10.1039/D4DD00147H</x:v>
      </x:c>
      <x:c r="L53" s="22" t="str">
        <x:v>多引擎工作流</x:v>
      </x:c>
      <x:c r="M53" s="22" t="str">
        <x:v>是</x:v>
      </x:c>
      <x:c r="N53" s="22" t="str">
        <x:v>多程序任务、后处理和面向非专家用户的工作流</x:v>
      </x:c>
      <x:c r="O53" s="22" t="str">
        <x:v>一键化有价值，但必须建立在可靠元数据和错误诊断之上。</x:v>
      </x:c>
      <x:c r="P53" s="22" t="str">
        <x:v>https://doi.org/10.1039/D4DD00147H</x:v>
      </x:c>
      <x:c r="Q53" s="30" t="str">
        <x:v>作者和页码下载时核对。</x:v>
      </x:c>
    </x:row>
    <x:row r="54" ht="42" customHeight="1">
      <x:c r="A54" s="29" t="str">
        <x:v>L050</x:v>
      </x:c>
      <x:c r="B54" s="22" t="str">
        <x:v>B</x:v>
      </x:c>
      <x:c r="C54" s="22" t="str">
        <x:v>同行评议·工作流软件</x:v>
      </x:c>
      <x:c r="D54" s="22" t="str">
        <x:v>互操作与工作流</x:v>
      </x:c>
      <x:c r="E54" s="22" t="str">
        <x:v>ASH</x:v>
      </x:c>
      <x:c r="F54" s="22" t="str">
        <x:v>ASH: A Multi-Scale, Multi-Theory Modeling Program</x:v>
      </x:c>
      <x:c r="G54" s="22" t="str">
        <x:v>Einar Bjornsson</x:v>
      </x:c>
      <x:c r="H54" s="104" t="n">
        <x:v>2026</x:v>
      </x:c>
      <x:c r="I54" s="22" t="str">
        <x:v>Journal of Computational Chemistry</x:v>
      </x:c>
      <x:c r="J54" s="22" t="str">
        <x:v>以DOI元数据为准</x:v>
      </x:c>
      <x:c r="K54" s="22" t="str">
        <x:v>10.1002/jcc.70359</x:v>
      </x:c>
      <x:c r="L54" s="22" t="str">
        <x:v>多尺度工作流软件</x:v>
      </x:c>
      <x:c r="M54" s="22" t="str">
        <x:v>是</x:v>
      </x:c>
      <x:c r="N54" s="22" t="str">
        <x:v>将工作流/任务层与底层QM、MM、ML引擎分离的架构</x:v>
      </x:c>
      <x:c r="O54" s="22" t="str">
        <x:v>支持把ChemBlender定位为科学可视化编排层而不是新的计算引擎。</x:v>
      </x:c>
      <x:c r="P54" s="22" t="str">
        <x:v>https://doi.org/10.1002/jcc.70359</x:v>
      </x:c>
      <x:c r="Q54" s="30" t="str">
        <x:v>2026新文献。</x:v>
      </x:c>
    </x:row>
    <x:row r="55" ht="42" customHeight="1">
      <x:c r="A55" s="29" t="str">
        <x:v>L051</x:v>
      </x:c>
      <x:c r="B55" s="22" t="str">
        <x:v>A</x:v>
      </x:c>
      <x:c r="C55" s="22" t="str">
        <x:v>同行评议·分析软件</x:v>
      </x:c>
      <x:c r="D55" s="22" t="str">
        <x:v>数据格式与可视化</x:v>
      </x:c>
      <x:c r="E55" s="22" t="str">
        <x:v>Multiwfn</x:v>
      </x:c>
      <x:c r="F55" s="22" t="str">
        <x:v>Multiwfn: A multifunctional wavefunction analyzer</x:v>
      </x:c>
      <x:c r="G55" s="22" t="str">
        <x:v>Tian Lu, Feiwu Chen</x:v>
      </x:c>
      <x:c r="H55" s="104" t="n">
        <x:v>2012</x:v>
      </x:c>
      <x:c r="I55" s="22" t="str">
        <x:v>Journal of Computational Chemistry</x:v>
      </x:c>
      <x:c r="J55" s="22" t="str">
        <x:v>33, 580–592</x:v>
      </x:c>
      <x:c r="K55" s="22" t="str">
        <x:v>10.1002/jcc.22885</x:v>
      </x:c>
      <x:c r="L55" s="22" t="str">
        <x:v>波函数分析软件</x:v>
      </x:c>
      <x:c r="M55" s="22" t="str">
        <x:v>是</x:v>
      </x:c>
      <x:c r="N55" s="22" t="str">
        <x:v>电子密度、ESP、ELF、拓扑等实空间分析的事实标准之一</x:v>
      </x:c>
      <x:c r="O55" s="22" t="str">
        <x:v>后续产品场类型应超越HOMO/LUMO，覆盖差分密度、ESP、ELF/LOL、NTO等。</x:v>
      </x:c>
      <x:c r="P55" s="22" t="str">
        <x:v>https://doi.org/10.1002/jcc.22885</x:v>
      </x:c>
      <x:c r="Q55" s="30" t="str">
        <x:v>核心分析对照。</x:v>
      </x:c>
    </x:row>
    <x:row r="56" ht="42" customHeight="1">
      <x:c r="A56" s="29" t="str">
        <x:v>L052</x:v>
      </x:c>
      <x:c r="B56" s="22" t="str">
        <x:v>B</x:v>
      </x:c>
      <x:c r="C56" s="22" t="str">
        <x:v>同行评议·可视化软件</x:v>
      </x:c>
      <x:c r="D56" s="22" t="str">
        <x:v>数据格式与可视化</x:v>
      </x:c>
      <x:c r="E56" s="22" t="str">
        <x:v>Avogadro</x:v>
      </x:c>
      <x:c r="F56" s="22" t="str">
        <x:v>Avogadro: An advanced semantic chemical editor, visualization, and analysis platform</x:v>
      </x:c>
      <x:c r="G56" s="22" t="str">
        <x:v>Marcus D. Hanwell et al.</x:v>
      </x:c>
      <x:c r="H56" s="104" t="n">
        <x:v>2012</x:v>
      </x:c>
      <x:c r="I56" s="22" t="str">
        <x:v>Journal of Cheminformatics</x:v>
      </x:c>
      <x:c r="J56" s="22" t="str">
        <x:v>4, 17</x:v>
      </x:c>
      <x:c r="K56" s="22" t="str">
        <x:v>10.1186/1758-2946-4-17</x:v>
      </x:c>
      <x:c r="L56" s="22" t="str">
        <x:v>可视化/编辑软件</x:v>
      </x:c>
      <x:c r="M56" s="22" t="str">
        <x:v>是</x:v>
      </x:c>
      <x:c r="N56" s="22" t="str">
        <x:v>分子编辑、轨道/密度可视化、多格式支持的成熟对照</x:v>
      </x:c>
      <x:c r="O56" s="22" t="str">
        <x:v>Blender方案应证明其在高质量渲染、动画或大体数据方面的独特价值。</x:v>
      </x:c>
      <x:c r="P56" s="22" t="str">
        <x:v>https://doi.org/10.1186/1758-2946-4-17</x:v>
      </x:c>
      <x:c r="Q56" s="30" t="str">
        <x:v>核心竞品背景。</x:v>
      </x:c>
    </x:row>
    <x:row r="57" ht="42" customHeight="1">
      <x:c r="A57" s="29" t="str">
        <x:v>L053</x:v>
      </x:c>
      <x:c r="B57" s="22" t="str">
        <x:v>A</x:v>
      </x:c>
      <x:c r="C57" s="22" t="str">
        <x:v>同行评议·数据结构</x:v>
      </x:c>
      <x:c r="D57" s="22" t="str">
        <x:v>数据格式与可视化</x:v>
      </x:c>
      <x:c r="E57" s="22" t="str">
        <x:v>OpenVDB</x:v>
      </x:c>
      <x:c r="F57" s="22" t="str">
        <x:v>VDB: High-resolution sparse volumes with dynamic topology</x:v>
      </x:c>
      <x:c r="G57" s="22" t="str">
        <x:v>Ken Museth</x:v>
      </x:c>
      <x:c r="H57" s="104" t="n">
        <x:v>2013</x:v>
      </x:c>
      <x:c r="I57" s="22" t="str">
        <x:v>ACM Transactions on Graphics</x:v>
      </x:c>
      <x:c r="J57" s="22" t="str">
        <x:v>32(3), 1–22</x:v>
      </x:c>
      <x:c r="K57" s="22" t="str">
        <x:v>10.1145/2487228.2487235</x:v>
      </x:c>
      <x:c r="L57" s="22" t="str">
        <x:v>稀疏体数据结构</x:v>
      </x:c>
      <x:c r="M57" s="22" t="str">
        <x:v>部分</x:v>
      </x:c>
      <x:c r="N57" s="22" t="str">
        <x:v>OpenVDB的层次稀疏体表示、快速访问和动态拓扑基础</x:v>
      </x:c>
      <x:c r="O57" s="22" t="str">
        <x:v>VDB适合高分辨率稀疏场和动画，但不应替代原始科学数据归档。</x:v>
      </x:c>
      <x:c r="P57" s="22" t="str">
        <x:v>https://doi.org/10.1145/2487228.2487235</x:v>
      </x:c>
      <x:c r="Q57" s="30" t="str">
        <x:v>核心VDB论文。</x:v>
      </x:c>
    </x:row>
    <x:row r="58" ht="42" customHeight="1">
      <x:c r="A58" s="29" t="str">
        <x:v>L054</x:v>
      </x:c>
      <x:c r="B58" s="22" t="str">
        <x:v>B</x:v>
      </x:c>
      <x:c r="C58" s="22" t="str">
        <x:v>同行评议·压缩方法</x:v>
      </x:c>
      <x:c r="D58" s="22" t="str">
        <x:v>数据格式与可视化</x:v>
      </x:c>
      <x:c r="E58" s="22" t="str">
        <x:v>NeuralVDB</x:v>
      </x:c>
      <x:c r="F58" s="22" t="str">
        <x:v>NeuralVDB: High-resolution sparse volume representation using hierarchical neural networks</x:v>
      </x:c>
      <x:c r="G58" s="22" t="str">
        <x:v>Doyub Kim, Minjae Lee, Ken Museth</x:v>
      </x:c>
      <x:c r="H58" s="104" t="n">
        <x:v>2024</x:v>
      </x:c>
      <x:c r="I58" s="22" t="str">
        <x:v>ACM Transactions on Graphics</x:v>
      </x:c>
      <x:c r="J58" s="22" t="str">
        <x:v>以DOI元数据为准</x:v>
      </x:c>
      <x:c r="K58" s="22" t="str">
        <x:v>10.1145/3641817</x:v>
      </x:c>
      <x:c r="L58" s="22" t="str">
        <x:v>体数据压缩</x:v>
      </x:c>
      <x:c r="M58" s="22" t="str">
        <x:v>部分</x:v>
      </x:c>
      <x:c r="N58" s="22" t="str">
        <x:v>有损/可控误差的高压缩体表示</x:v>
      </x:c>
      <x:c r="O58" s="22" t="str">
        <x:v>可作为超大体数据的实验性选项，但必须显示误差预算，不能默认替代无损VDB。</x:v>
      </x:c>
      <x:c r="P58" s="22" t="str">
        <x:v>https://doi.org/10.1145/3641817</x:v>
      </x:c>
      <x:c r="Q58" s="30" t="str">
        <x:v>高级扩展方向。</x:v>
      </x:c>
    </x:row>
    <x:row r="59" ht="42" customHeight="1">
      <x:c r="A59" s="29" t="str">
        <x:v>L055</x:v>
      </x:c>
      <x:c r="B59" s="22" t="str">
        <x:v>A</x:v>
      </x:c>
      <x:c r="C59" s="22" t="str">
        <x:v>同行评议·量化拓扑可视化</x:v>
      </x:c>
      <x:c r="D59" s="22" t="str">
        <x:v>数据格式与可视化</x:v>
      </x:c>
      <x:c r="E59" s="22" t="str">
        <x:v>Rhorix/Blender</x:v>
      </x:c>
      <x:c r="F59" s="22" t="str">
        <x:v>Rhorix: An interface between quantum chemical topology and Blender</x:v>
      </x:c>
      <x:c r="G59" s="22" t="str">
        <x:v>Mills et al.</x:v>
      </x:c>
      <x:c r="H59" s="104" t="n">
        <x:v>2017</x:v>
      </x:c>
      <x:c r="I59" s="22" t="str">
        <x:v>Journal of Computational Chemistry</x:v>
      </x:c>
      <x:c r="J59" s="22" t="str">
        <x:v>以DOI元数据为准</x:v>
      </x:c>
      <x:c r="K59" s="22" t="str">
        <x:v>10.1002/jcc.25054</x:v>
      </x:c>
      <x:c r="L59" s="22" t="str">
        <x:v>Blender科学可视化</x:v>
      </x:c>
      <x:c r="M59" s="22" t="str">
        <x:v>部分</x:v>
      </x:c>
      <x:c r="N59" s="22" t="str">
        <x:v>量子化学拓扑结果到Blender的直接先例</x:v>
      </x:c>
      <x:c r="O59" s="22" t="str">
        <x:v>证明方向有科研需求，也说明必须强调可追溯元数据和分析语义。</x:v>
      </x:c>
      <x:c r="P59" s="22" t="str">
        <x:v>https://doi.org/10.1002/jcc.25054</x:v>
      </x:c>
      <x:c r="Q59" s="30" t="str">
        <x:v>核心直接先例。</x:v>
      </x:c>
    </x:row>
    <x:row r="60" ht="42" customHeight="1">
      <x:c r="A60" s="29" t="str">
        <x:v>L056</x:v>
      </x:c>
      <x:c r="B60" s="22" t="str">
        <x:v>B</x:v>
      </x:c>
      <x:c r="C60" s="22" t="str">
        <x:v>同行评议·Blender插件</x:v>
      </x:c>
      <x:c r="D60" s="22" t="str">
        <x:v>数据格式与可视化</x:v>
      </x:c>
      <x:c r="E60" s="22" t="str">
        <x:v>BlendMol</x:v>
      </x:c>
      <x:c r="F60" s="22" t="str">
        <x:v>BlendMol: Advanced macromolecular visualization in Blender</x:v>
      </x:c>
      <x:c r="G60" s="22" t="str">
        <x:v>Jacob D. Durrant</x:v>
      </x:c>
      <x:c r="H60" s="104" t="n">
        <x:v>2019</x:v>
      </x:c>
      <x:c r="I60" s="22" t="str">
        <x:v>Bioinformatics</x:v>
      </x:c>
      <x:c r="J60" s="22" t="str">
        <x:v>35, 2323–2325</x:v>
      </x:c>
      <x:c r="K60" s="22" t="str">
        <x:v>10.1093/bioinformatics/bty968</x:v>
      </x:c>
      <x:c r="L60" s="22" t="str">
        <x:v>Blender桥接插件</x:v>
      </x:c>
      <x:c r="M60" s="22" t="str">
        <x:v>是</x:v>
      </x:c>
      <x:c r="N60" s="22" t="str">
        <x:v>论证Blender在高级渲染方面的优势及其不适合严谨分析的UI短板</x:v>
      </x:c>
      <x:c r="O60" s="22" t="str">
        <x:v>产品需把科学分析与最终渲染分层，而不是把Blender当唯一分析环境。</x:v>
      </x:c>
      <x:c r="P60" s="22" t="str">
        <x:v>https://doi.org/10.1093/bioinformatics/bty968</x:v>
      </x:c>
      <x:c r="Q60" s="30" t="str">
        <x:v>核心设计边界参考。</x:v>
      </x:c>
    </x:row>
    <x:row r="61" ht="42" customHeight="1">
      <x:c r="A61" s="29" t="str">
        <x:v>L057</x:v>
      </x:c>
      <x:c r="B61" s="22" t="str">
        <x:v>B</x:v>
      </x:c>
      <x:c r="C61" s="22" t="str">
        <x:v>同行评议·教育/可视化</x:v>
      </x:c>
      <x:c r="D61" s="22" t="str">
        <x:v>数据格式与可视化</x:v>
      </x:c>
      <x:c r="E61" s="22" t="str">
        <x:v>QMBlender</x:v>
      </x:c>
      <x:c r="F61" s="22" t="str">
        <x:v>QMBlender: Particle-based visualization of three-dimensional quantum wave function dynamics</x:v>
      </x:c>
      <x:c r="G61" s="22" t="str">
        <x:v>Figueiras et al.</x:v>
      </x:c>
      <x:c r="H61" s="104" t="n">
        <x:v>2019</x:v>
      </x:c>
      <x:c r="I61" s="22" t="str">
        <x:v>Journal of Computational Science</x:v>
      </x:c>
      <x:c r="J61" s="22" t="str">
        <x:v>35, 44–56</x:v>
      </x:c>
      <x:c r="K61" s="22" t="str">
        <x:v>10.1016/j.jocs.2019.06.001</x:v>
      </x:c>
      <x:c r="L61" s="22" t="str">
        <x:v>量子动力学可视化</x:v>
      </x:c>
      <x:c r="M61" s="22" t="str">
        <x:v>部分</x:v>
      </x:c>
      <x:c r="N61" s="22" t="str">
        <x:v>Blender中动态量子波函数表达的直接先例</x:v>
      </x:c>
      <x:c r="O61" s="22" t="str">
        <x:v>时间相关场、相位和动画是比静态cube导入更强的差异化方向。</x:v>
      </x:c>
      <x:c r="P61" s="22" t="str">
        <x:v>https://doi.org/10.1016/j.jocs.2019.06.001</x:v>
      </x:c>
      <x:c r="Q61" s="30" t="str">
        <x:v>可视化方向核心。</x:v>
      </x:c>
    </x:row>
    <x:row r="62" ht="42" customHeight="1">
      <x:c r="A62" s="29" t="str">
        <x:v>L058</x:v>
      </x:c>
      <x:c r="B62" s="22" t="str">
        <x:v>A</x:v>
      </x:c>
      <x:c r="C62" s="22" t="str">
        <x:v>官方仓库·直接先例</x:v>
      </x:c>
      <x:c r="D62" s="22" t="str">
        <x:v>数据格式与可视化</x:v>
      </x:c>
      <x:c r="E62" s="22" t="str">
        <x:v>Den2Obj</x:v>
      </x:c>
      <x:c r="F62" s="22" t="str">
        <x:v>Den2Obj: volumetric scalar fields to isosurfaces and OpenVDB</x:v>
      </x:c>
      <x:c r="G62" s="22" t="str">
        <x:v>Ivo Filot et al.</x:v>
      </x:c>
      <x:c r="H62" s="104" t="n">
        <x:v>2026</x:v>
      </x:c>
      <x:c r="I62" s="22" t="str">
        <x:v>GitHub repository</x:v>
      </x:c>
      <x:c r="J62" s="22" t="str">
        <x:v>持续维护</x:v>
      </x:c>
      <x:c r="K62" s="22" t="str"/>
      <x:c r="L62" s="22" t="str">
        <x:v>直接竞品/先例</x:v>
      </x:c>
      <x:c r="M62" s="22" t="str">
        <x:v>是</x:v>
      </x:c>
      <x:c r="N62" s="22" t="str">
        <x:v>已支持Gaussian cube/VASP体数据到OBJ、PLY、STL和OpenVDB</x:v>
      </x:c>
      <x:c r="O62" s="22" t="str">
        <x:v>单独的cube→VDB功能不具备充分新颖性；必须发展完整科学工作流。</x:v>
      </x:c>
      <x:c r="P62" s="22" t="str">
        <x:v>https://github.com/ifilot/den2obj</x:v>
      </x:c>
      <x:c r="Q62" s="30" t="str">
        <x:v>直接先例，必须纳入竞品分析。</x:v>
      </x:c>
    </x:row>
    <x:row r="63" ht="42" customHeight="1">
      <x:c r="A63" s="29" t="str">
        <x:v>L059</x:v>
      </x:c>
      <x:c r="B63" s="22" t="str">
        <x:v>A</x:v>
      </x:c>
      <x:c r="C63" s="22" t="str">
        <x:v>官方仓库·直接先例</x:v>
      </x:c>
      <x:c r="D63" s="22" t="str">
        <x:v>数据格式与可视化</x:v>
      </x:c>
      <x:c r="E63" s="22" t="str">
        <x:v>Molecular Blender</x:v>
      </x:c>
      <x:c r="F63" s="22" t="str">
        <x:v>Molecular Blender: Blender plugin for molecules, cube and Molden isosurfaces</x:v>
      </x:c>
      <x:c r="G63" s="22" t="str">
        <x:v>Molecular Blender developers</x:v>
      </x:c>
      <x:c r="H63" s="104" t="n">
        <x:v>2026</x:v>
      </x:c>
      <x:c r="I63" s="22" t="str">
        <x:v>GitHub repository</x:v>
      </x:c>
      <x:c r="J63" s="22" t="str">
        <x:v>持续维护</x:v>
      </x:c>
      <x:c r="K63" s="22" t="str"/>
      <x:c r="L63" s="22" t="str">
        <x:v>直接竞品/先例</x:v>
      </x:c>
      <x:c r="M63" s="22" t="str">
        <x:v>是</x:v>
      </x:c>
      <x:c r="N63" s="22" t="str">
        <x:v>Blender内直接读取cube/Molden并绘制轨道和密度等值面</x:v>
      </x:c>
      <x:c r="O63" s="22" t="str">
        <x:v>差异化不能停留在“Blender中看到轨道”，而应在VDB性能、语义、批处理和复现。</x:v>
      </x:c>
      <x:c r="P63" s="22" t="str">
        <x:v>https://github.com/smparker/molecular-blender</x:v>
      </x:c>
      <x:c r="Q63" s="30" t="str">
        <x:v>直接先例。</x:v>
      </x:c>
    </x:row>
    <x:row r="64" ht="42" customHeight="1">
      <x:c r="A64" s="29" t="str">
        <x:v>L060</x:v>
      </x:c>
      <x:c r="B64" s="22" t="str">
        <x:v>B</x:v>
      </x:c>
      <x:c r="C64" s="22" t="str">
        <x:v>官方仓库·相邻竞品</x:v>
      </x:c>
      <x:c r="D64" s="22" t="str">
        <x:v>数据格式与可视化</x:v>
      </x:c>
      <x:c r="E64" s="22" t="str">
        <x:v>Beautiful Atoms</x:v>
      </x:c>
      <x:c r="F64" s="22" t="str">
        <x:v>Beautiful Atoms: Blender add-on for atomic structures and volumetric data</x:v>
      </x:c>
      <x:c r="G64" s="22" t="str">
        <x:v>Beautiful Atoms developers</x:v>
      </x:c>
      <x:c r="H64" s="104" t="n">
        <x:v>2026</x:v>
      </x:c>
      <x:c r="I64" s="22" t="str">
        <x:v>GitHub repository</x:v>
      </x:c>
      <x:c r="J64" s="22" t="str">
        <x:v>持续维护</x:v>
      </x:c>
      <x:c r="K64" s="22" t="str"/>
      <x:c r="L64" s="22" t="str">
        <x:v>相邻竞品</x:v>
      </x:c>
      <x:c r="M64" s="22" t="str">
        <x:v>是</x:v>
      </x:c>
      <x:c r="N64" s="22" t="str">
        <x:v>原子结构、周期体系、cube/体数据、GUI和动画的相邻方案</x:v>
      </x:c>
      <x:c r="O64" s="22" t="str">
        <x:v>项目需要明确更专注的量子化学语义和验证优势。</x:v>
      </x:c>
      <x:c r="P64" s="22" t="str">
        <x:v>https://github.com/beautiful-atoms/beautiful-atoms</x:v>
      </x:c>
      <x:c r="Q64" s="30" t="str">
        <x:v>竞品/合作对象。</x:v>
      </x:c>
    </x:row>
    <x:row r="65" ht="42" customHeight="1">
      <x:c r="A65" s="29" t="str">
        <x:v>L061</x:v>
      </x:c>
      <x:c r="B65" s="22" t="str">
        <x:v>B</x:v>
      </x:c>
      <x:c r="C65" s="22" t="str">
        <x:v>官方文档</x:v>
      </x:c>
      <x:c r="D65" s="22" t="str">
        <x:v>数据格式与可视化</x:v>
      </x:c>
      <x:c r="E65" s="22" t="str">
        <x:v>OpenVDB</x:v>
      </x:c>
      <x:c r="F65" s="22" t="str">
        <x:v>OpenVDB documentation</x:v>
      </x:c>
      <x:c r="G65" s="22" t="str">
        <x:v>Academy Software Foundation / OpenVDB</x:v>
      </x:c>
      <x:c r="H65" s="104" t="n">
        <x:v>2026</x:v>
      </x:c>
      <x:c r="I65" s="22" t="str">
        <x:v>Official documentation</x:v>
      </x:c>
      <x:c r="J65" s="22" t="str">
        <x:v>网页</x:v>
      </x:c>
      <x:c r="K65" s="22" t="str"/>
      <x:c r="L65" s="22" t="str">
        <x:v>格式/实现文档</x:v>
      </x:c>
      <x:c r="M65" s="22" t="str">
        <x:v>是</x:v>
      </x:c>
      <x:c r="N65" s="22" t="str">
        <x:v>网格类、变换、背景值、稀疏拓扑和Blender兼容</x:v>
      </x:c>
      <x:c r="O65" s="22" t="str">
        <x:v>转换器应使用物理坐标变换，不应仅依赖index-space体素位置。</x:v>
      </x:c>
      <x:c r="P65" s="22" t="str">
        <x:v>https://www.openvdb.org/documentation/</x:v>
      </x:c>
      <x:c r="Q65" s="30" t="str">
        <x:v>实现必读。</x:v>
      </x:c>
    </x:row>
    <x:row r="66" ht="42" customHeight="1">
      <x:c r="A66" s="29" t="str">
        <x:v>L062</x:v>
      </x:c>
      <x:c r="B66" s="22" t="str">
        <x:v>B</x:v>
      </x:c>
      <x:c r="C66" s="22" t="str">
        <x:v>公开维护者讨论</x:v>
      </x:c>
      <x:c r="D66" s="22" t="str">
        <x:v>采用度与维护</x:v>
      </x:c>
      <x:c r="E66" s="22" t="str">
        <x:v>PySCF vs Gaussian/Q-Chem</x:v>
      </x:c>
      <x:c r="F66" s="22" t="str">
        <x:v>PySCF issue #2229: Increase the density of DFT grids</x:v>
      </x:c>
      <x:c r="G66" s="22" t="str">
        <x:v>PySCF maintainers and users</x:v>
      </x:c>
      <x:c r="H66" s="104" t="n">
        <x:v>2024</x:v>
      </x:c>
      <x:c r="I66" s="22" t="str">
        <x:v>GitHub issue</x:v>
      </x:c>
      <x:c r="J66" s="22" t="str">
        <x:v>closed 2025</x:v>
      </x:c>
      <x:c r="K66" s="22" t="str"/>
      <x:c r="L66" s="22" t="str">
        <x:v>专家技术讨论</x:v>
      </x:c>
      <x:c r="M66" s="22" t="str">
        <x:v>是</x:v>
      </x:c>
      <x:c r="N66" s="22" t="str">
        <x:v>展示默认网格、Gaussian/Q-Chem设置、准确度和向后兼容性的权衡</x:v>
      </x:c>
      <x:c r="O66" s="22" t="str">
        <x:v>跨程序一致性必须建立在显式协议上，不能依赖默认值。</x:v>
      </x:c>
      <x:c r="P66" s="22" t="str">
        <x:v>https://github.com/pyscf/pyscf/issues/2229</x:v>
      </x:c>
      <x:c r="Q66" s="30" t="str">
        <x:v>不是匿名审稿意见；是公开技术讨论。</x:v>
      </x:c>
    </x:row>
    <x:row r="67" ht="42" customHeight="1">
      <x:c r="A67" s="29" t="str">
        <x:v>L063</x:v>
      </x:c>
      <x:c r="B67" s="22" t="str">
        <x:v>C</x:v>
      </x:c>
      <x:c r="C67" s="22" t="str">
        <x:v>公开用户讨论·案例</x:v>
      </x:c>
      <x:c r="D67" s="22" t="str">
        <x:v>采用度与维护</x:v>
      </x:c>
      <x:c r="E67" s="22" t="str">
        <x:v>PySCF vs ORCA/Gaussian</x:v>
      </x:c>
      <x:c r="F67" s="22" t="str">
        <x:v>PySCF issue #2334: Hessian performance compared with ORCA and Gaussian</x:v>
      </x:c>
      <x:c r="G67" s="22" t="str">
        <x:v>PySCF maintainers and user</x:v>
      </x:c>
      <x:c r="H67" s="104" t="n">
        <x:v>2024</x:v>
      </x:c>
      <x:c r="I67" s="22" t="str">
        <x:v>GitHub issue</x:v>
      </x:c>
      <x:c r="J67" s="22" t="str">
        <x:v>open</x:v>
      </x:c>
      <x:c r="K67" s="22" t="str"/>
      <x:c r="L67" s="22" t="str">
        <x:v>性能案例讨论</x:v>
      </x:c>
      <x:c r="M67" s="22" t="str">
        <x:v>是</x:v>
      </x:c>
      <x:c r="N67" s="22" t="str">
        <x:v>展示特定Hessian实现性能短板、优化PR和GPU建议</x:v>
      </x:c>
      <x:c r="O67" s="22" t="str">
        <x:v>性能成熟度是逐模块的；不可把单点能速度外推到Hessian等全部任务。</x:v>
      </x:c>
      <x:c r="P67" s="22" t="str">
        <x:v>https://github.com/pyscf/pyscf/issues/2334</x:v>
      </x:c>
      <x:c r="Q67" s="30" t="str">
        <x:v>非受控基准，只能作为问题发现线索。</x:v>
      </x:c>
    </x:row>
    <x:row r="68" ht="42" customHeight="1">
      <x:c r="A68" s="31" t="str">
        <x:v>L064</x:v>
      </x:c>
      <x:c r="B68" s="32" t="str">
        <x:v>C</x:v>
      </x:c>
      <x:c r="C68" s="32" t="str">
        <x:v>社区便利样本</x:v>
      </x:c>
      <x:c r="D68" s="32" t="str">
        <x:v>采用度与维护</x:v>
      </x:c>
      <x:c r="E68" s="32" t="str">
        <x:v>软件使用调查</x:v>
      </x:c>
      <x:c r="F68" s="32" t="str">
        <x:v>Computational Chemistry Software Usage Poll (Chinese community, 2024)</x:v>
      </x:c>
      <x:c r="G68" s="32" t="str">
        <x:v>Computational Chemistry Commune community</x:v>
      </x:c>
      <x:c r="H68" s="105" t="n">
        <x:v>2024</x:v>
      </x:c>
      <x:c r="I68" s="32" t="str">
        <x:v>Community poll</x:v>
      </x:c>
      <x:c r="J68" s="32" t="str">
        <x:v>679 respondents</x:v>
      </x:c>
      <x:c r="K68" s="32" t="str"/>
      <x:c r="L68" s="32" t="str">
        <x:v>非同行评议调查</x:v>
      </x:c>
      <x:c r="M68" s="32" t="str">
        <x:v>是</x:v>
      </x:c>
      <x:c r="N68" s="32" t="str">
        <x:v>提供中国社区中Gaussian/ORCA/xTB等使用排序的方向性线索</x:v>
      </x:c>
      <x:c r="O68" s="32" t="str">
        <x:v>证明有必要开展分层、全球化、非引导式问卷；不能作为行业份额结论。</x:v>
      </x:c>
      <x:c r="P68" s="32" t="str">
        <x:v>http://sobereva.com/724</x:v>
      </x:c>
      <x:c r="Q68" s="33" t="str">
        <x:v>便利样本、地区偏差、多选；谨慎引用。</x:v>
      </x:c>
    </x:row>
  </x:sheetData>
  <x:mergeCells>
    <x:mergeCell ref="A1:Q1"/>
    <x:mergeCell ref="A2:Q2"/>
  </x:mergeCells>
  <x:conditionalFormatting sqref="B5:B68">
    <x:cfRule type="expression" dxfId="0" priority="1">
      <x:formula>B5="A"</x:formula>
    </x:cfRule>
    <x:cfRule type="expression" dxfId="1" priority="2">
      <x:formula>B5="B"</x:formula>
    </x:cfRule>
    <x:cfRule type="expression" dxfId="2" priority="3">
      <x:formula>B5="C"</x:formula>
    </x:cfRule>
  </x:conditionalFormatting>
  <x:dataValidations count="1">
    <x:dataValidation type="list" sqref="B5:B68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32e36050674e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0" hidden="0" customWidth="1"/>
    <x:col min="6" max="6" width="10" hidden="0" customWidth="1"/>
    <x:col min="7" max="7" width="18" hidden="0" customWidth="1"/>
    <x:col min="8" max="8" width="16" hidden="0" customWidth="1"/>
    <x:col min="9" max="9" width="18" hidden="0" customWidth="1"/>
    <x:col min="10" max="10" width="22" hidden="0" customWidth="1"/>
    <x:col min="11" max="11" width="20" hidden="0" customWidth="1"/>
    <x:col min="12" max="12" width="30" hidden="0" customWidth="1"/>
    <x:col min="13" max="13" width="34" hidden="0" customWidth="1"/>
    <x:col min="14" max="14" width="34" hidden="0" customWidth="1"/>
    <x:col min="15" max="15" width="34" hidden="0" customWidth="1"/>
    <x:col min="16" max="16" width="28" hidden="0" customWidth="1"/>
    <x:col min="17" max="17" width="34" hidden="0" customWidth="1"/>
  </x:cols>
  <x:sheetData>
    <x:row r="1" ht="32" customHeight="1">
      <x:c r="A1" s="5" t="str">
        <x:v>量子化学软件定位与ChemBlender适配矩阵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4" customHeight="1">
      <x:c r="A2" s="12" t="str">
        <x:v>不做“谁最准确”的笼统排名；按任务、许可、方法覆盖、周期/分子、工作流和验证条件比较。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 ht="54" customHeight="1">
      <x:c r="A4" s="98" t="str">
        <x:v>软件</x:v>
      </x:c>
      <x:c r="B4" s="102" t="str">
        <x:v>定位</x:v>
      </x:c>
      <x:c r="C4" s="102" t="str">
        <x:v>许可/获取</x:v>
      </x:c>
      <x:c r="D4" s="102" t="str">
        <x:v>Python/API</x:v>
      </x:c>
      <x:c r="E4" s="102" t="str">
        <x:v>分子</x:v>
      </x:c>
      <x:c r="F4" s="102" t="str">
        <x:v>周期</x:v>
      </x:c>
      <x:c r="G4" s="102" t="str">
        <x:v>波函数/CC</x:v>
      </x:c>
      <x:c r="H4" s="102" t="str">
        <x:v>多参考</x:v>
      </x:c>
      <x:c r="I4" s="102" t="str">
        <x:v>DFT/性质</x:v>
      </x:c>
      <x:c r="J4" s="102" t="str">
        <x:v>GPU/HPC</x:v>
      </x:c>
      <x:c r="K4" s="102" t="str">
        <x:v>GUI/易用</x:v>
      </x:c>
      <x:c r="L4" s="102" t="str">
        <x:v>典型场景</x:v>
      </x:c>
      <x:c r="M4" s="102" t="str">
        <x:v>认可度证据</x:v>
      </x:c>
      <x:c r="N4" s="102" t="str">
        <x:v>对本项目适配</x:v>
      </x:c>
      <x:c r="O4" s="102" t="str">
        <x:v>主要风险/限制</x:v>
      </x:c>
      <x:c r="P4" s="102" t="str">
        <x:v>核心文献DOI</x:v>
      </x:c>
      <x:c r="Q4" s="99" t="str">
        <x:v>官网/源码</x:v>
      </x:c>
    </x:row>
    <x:row r="5" ht="54" customHeight="1">
      <x:c r="A5" s="29" t="str">
        <x:v>PySCF</x:v>
      </x:c>
      <x:c r="B5" s="22" t="str">
        <x:v>Python原生开放电子结构框架；分子+周期；方法开发/自动化</x:v>
      </x:c>
      <x:c r="C5" s="22" t="str">
        <x:v>Apache-2.0开源</x:v>
      </x:c>
      <x:c r="D5" s="22" t="str">
        <x:v>强；Python API为核心</x:v>
      </x:c>
      <x:c r="E5" s="22" t="str">
        <x:v>强</x:v>
      </x:c>
      <x:c r="F5" s="22" t="str">
        <x:v>强</x:v>
      </x:c>
      <x:c r="G5" s="22" t="str">
        <x:v>强：MP2/CC/ADC/GW等</x:v>
      </x:c>
      <x:c r="H5" s="22" t="str">
        <x:v>强：CASSCF/DMRG/SHCI等接口</x:v>
      </x:c>
      <x:c r="I5" s="22" t="str">
        <x:v>强；Libxc/XCFun；多种性质</x:v>
      </x:c>
      <x:c r="J5" s="22" t="str">
        <x:v>CPU+MPI；GPU4PySCF持续扩展</x:v>
      </x:c>
      <x:c r="K5" s="22" t="str">
        <x:v>弱到中；主要依赖脚本/Notebook/第三方GUI</x:v>
      </x:c>
      <x:c r="L5" s="22" t="str">
        <x:v>方法开发、高通量、嵌入、分子与材料统一流程</x:v>
      </x:c>
      <x:c r="M5" s="22" t="str">
        <x:v>同行评议软件论文；官方称&gt;100团队；GPU工业应用论文</x:v>
      </x:c>
      <x:c r="N5" s="22" t="str">
        <x:v>极高：直接生成场并嵌入Python/Blender管线</x:v>
      </x:c>
      <x:c r="O5" s="22" t="str">
        <x:v>原生Windows不支持；不同模块性能/成熟度不均；需强元数据约束</x:v>
      </x:c>
      <x:c r="P5" s="22" t="str">
        <x:v>10.1063/5.0006074; 10.1002/wcms.1340</x:v>
      </x:c>
      <x:c r="Q5" s="30" t="str">
        <x:v>https://pyscf.org/</x:v>
      </x:c>
    </x:row>
    <x:row r="6" ht="54" customHeight="1">
      <x:c r="A6" s="29" t="str">
        <x:v>Gaussian</x:v>
      </x:c>
      <x:c r="B6" s="22" t="str">
        <x:v>商业集成分子量子化学程序包</x:v>
      </x:c>
      <x:c r="C6" s="22" t="str">
        <x:v>商业许可</x:v>
      </x:c>
      <x:c r="D6" s="22" t="str">
        <x:v>有限；以输入文件/外部工具为主</x:v>
      </x:c>
      <x:c r="E6" s="22" t="str">
        <x:v>强</x:v>
      </x:c>
      <x:c r="F6" s="22" t="str">
        <x:v>有限/非主要定位</x:v>
      </x:c>
      <x:c r="G6" s="22" t="str">
        <x:v>强且成熟</x:v>
      </x:c>
      <x:c r="H6" s="22" t="str">
        <x:v>有；具体方法依版本</x:v>
      </x:c>
      <x:c r="I6" s="22" t="str">
        <x:v>强；频率/光谱/溶剂/反应路径成熟</x:v>
      </x:c>
      <x:c r="J6" s="22" t="str">
        <x:v>CPU/HPC；具体能力以许可和版本为准</x:v>
      </x:c>
      <x:c r="K6" s="22" t="str">
        <x:v>强：GaussView与培训生态</x:v>
      </x:c>
      <x:c r="L6" s="22" t="str">
        <x:v>常规分子计算、教学、工业标准流程</x:v>
      </x:c>
      <x:c r="M6" s="22" t="str">
        <x:v>长期装机基础、文献传统和商业支持；缺少公开全球份额数据</x:v>
      </x:c>
      <x:c r="N6" s="22" t="str">
        <x:v>高：已有cube/formchk等成熟输出</x:v>
      </x:c>
      <x:c r="O6" s="22" t="str">
        <x:v>闭源、自动化/内部修改受限；许可成本；默认值和revision需固定</x:v>
      </x:c>
      <x:c r="P6" s="22" t="str">
        <x:v>Gaussian 16 software citation</x:v>
      </x:c>
      <x:c r="Q6" s="30" t="str">
        <x:v>https://gaussian.com/</x:v>
      </x:c>
    </x:row>
    <x:row r="7" ht="54" customHeight="1">
      <x:c r="A7" s="29" t="str">
        <x:v>ORCA</x:v>
      </x:c>
      <x:c r="B7" s="22" t="str">
        <x:v>广覆盖分子量子化学程序，偏易用与高性能</x:v>
      </x:c>
      <x:c r="C7" s="22" t="str">
        <x:v>学术免费；商业条款另议</x:v>
      </x:c>
      <x:c r="D7" s="22" t="str">
        <x:v>中；输入文件+接口</x:v>
      </x:c>
      <x:c r="E7" s="22" t="str">
        <x:v>强</x:v>
      </x:c>
      <x:c r="F7" s="22" t="str">
        <x:v>弱/非主要定位</x:v>
      </x:c>
      <x:c r="G7" s="22" t="str">
        <x:v>强；DLPNO等是特色</x:v>
      </x:c>
      <x:c r="H7" s="22" t="str">
        <x:v>强；多参考/谱学</x:v>
      </x:c>
      <x:c r="I7" s="22" t="str">
        <x:v>强；光谱、相对论、磁性</x:v>
      </x:c>
      <x:c r="J7" s="22" t="str">
        <x:v>CPU并行；部分GPU/加速能力持续发展</x:v>
      </x:c>
      <x:c r="K7" s="22" t="str">
        <x:v>中；Avogadro等外部GUI常用</x:v>
      </x:c>
      <x:c r="L7" s="22" t="str">
        <x:v>分子、过渡金属、谱学、DLPNO工作流</x:v>
      </x:c>
      <x:c r="M7" s="22" t="str">
        <x:v>作者报告大规模学术用户基础；软件论文和广泛引用</x:v>
      </x:c>
      <x:c r="N7" s="22" t="str">
        <x:v>高：标准输出/cube可接入</x:v>
      </x:c>
      <x:c r="O7" s="22" t="str">
        <x:v>非完全FOSS；版本默认网格与数值策略会变化</x:v>
      </x:c>
      <x:c r="P7" s="22" t="str">
        <x:v>10.1002/wcms.1606; 10.1002/wcms.70019</x:v>
      </x:c>
      <x:c r="Q7" s="30" t="str">
        <x:v>https://www.faccts.de/orca/</x:v>
      </x:c>
    </x:row>
    <x:row r="8" ht="54" customHeight="1">
      <x:c r="A8" s="29" t="str">
        <x:v>Psi4</x:v>
      </x:c>
      <x:c r="B8" s="22" t="str">
        <x:v>开放、高通量、Python/C++量子化学平台</x:v>
      </x:c>
      <x:c r="C8" s="22" t="str">
        <x:v>开源</x:v>
      </x:c>
      <x:c r="D8" s="22" t="str">
        <x:v>强；Python驱动</x:v>
      </x:c>
      <x:c r="E8" s="22" t="str">
        <x:v>强</x:v>
      </x:c>
      <x:c r="F8" s="22" t="str">
        <x:v>弱</x:v>
      </x:c>
      <x:c r="G8" s="22" t="str">
        <x:v>强</x:v>
      </x:c>
      <x:c r="H8" s="22" t="str">
        <x:v>中</x:v>
      </x:c>
      <x:c r="I8" s="22" t="str">
        <x:v>强</x:v>
      </x:c>
      <x:c r="J8" s="22" t="str">
        <x:v>CPU并行；依方法而异</x:v>
      </x:c>
      <x:c r="K8" s="22" t="str">
        <x:v>弱到中；脚本/生态工具</x:v>
      </x:c>
      <x:c r="L8" s="22" t="str">
        <x:v>方法开发、教育、高通量、标准化数据</x:v>
      </x:c>
      <x:c r="M8" s="22" t="str">
        <x:v>JCP软件论文；MolSSI/QCSchema生态</x:v>
      </x:c>
      <x:c r="N8" s="22" t="str">
        <x:v>极高：适合作为第二个Python后端</x:v>
      </x:c>
      <x:c r="O8" s="22" t="str">
        <x:v>周期体系不是主要强项；模块覆盖与PySCF不同</x:v>
      </x:c>
      <x:c r="P8" s="22" t="str">
        <x:v>10.1063/5.0006002</x:v>
      </x:c>
      <x:c r="Q8" s="30" t="str">
        <x:v>https://psicode.org/</x:v>
      </x:c>
    </x:row>
    <x:row r="9" ht="54" customHeight="1">
      <x:c r="A9" s="29" t="str">
        <x:v>Q-Chem</x:v>
      </x:c>
      <x:c r="B9" s="22" t="str">
        <x:v>商业研究前沿分子量子化学程序</x:v>
      </x:c>
      <x:c r="C9" s="22" t="str">
        <x:v>商业许可/学术许可</x:v>
      </x:c>
      <x:c r="D9" s="22" t="str">
        <x:v>中；输入文件和接口</x:v>
      </x:c>
      <x:c r="E9" s="22" t="str">
        <x:v>强</x:v>
      </x:c>
      <x:c r="F9" s="22" t="str">
        <x:v>弱</x:v>
      </x:c>
      <x:c r="G9" s="22" t="str">
        <x:v>强</x:v>
      </x:c>
      <x:c r="H9" s="22" t="str">
        <x:v>强</x:v>
      </x:c>
      <x:c r="I9" s="22" t="str">
        <x:v>强；EDA/激发态等丰富</x:v>
      </x:c>
      <x:c r="J9" s="22" t="str">
        <x:v>CPU/HPC；部分GPU</x:v>
      </x:c>
      <x:c r="K9" s="22" t="str">
        <x:v>中；IQmol等</x:v>
      </x:c>
      <x:c r="L9" s="22" t="str">
        <x:v>研究前沿方法、激发态、谱学、工业分子计算</x:v>
      </x:c>
      <x:c r="M9" s="22" t="str">
        <x:v>大型开发者网络和JCP软件综述</x:v>
      </x:c>
      <x:c r="N9" s="22" t="str">
        <x:v>高：可通过cube/Molden/标准输出</x:v>
      </x:c>
      <x:c r="O9" s="22" t="str">
        <x:v>闭源/许可；默认设置与专有实现需记录</x:v>
      </x:c>
      <x:c r="P9" s="22" t="str">
        <x:v>10.1063/5.0055522</x:v>
      </x:c>
      <x:c r="Q9" s="30" t="str">
        <x:v>https://www.q-chem.com/</x:v>
      </x:c>
    </x:row>
    <x:row r="10" ht="54" customHeight="1">
      <x:c r="A10" s="29" t="str">
        <x:v>NWChem</x:v>
      </x:c>
      <x:c r="B10" s="22" t="str">
        <x:v>开源HPC分子与凝聚相多方法套件</x:v>
      </x:c>
      <x:c r="C10" s="22" t="str">
        <x:v>开源</x:v>
      </x:c>
      <x:c r="D10" s="22" t="str">
        <x:v>中；输入文件/接口</x:v>
      </x:c>
      <x:c r="E10" s="22" t="str">
        <x:v>强</x:v>
      </x:c>
      <x:c r="F10" s="22" t="str">
        <x:v>强</x:v>
      </x:c>
      <x:c r="G10" s="22" t="str">
        <x:v>强</x:v>
      </x:c>
      <x:c r="H10" s="22" t="str">
        <x:v>中到强</x:v>
      </x:c>
      <x:c r="I10" s="22" t="str">
        <x:v>强</x:v>
      </x:c>
      <x:c r="J10" s="22" t="str">
        <x:v>强：并行与超级计算</x:v>
      </x:c>
      <x:c r="K10" s="22" t="str">
        <x:v>弱</x:v>
      </x:c>
      <x:c r="L10" s="22" t="str">
        <x:v>大型体系、HPC、QM/MM、周期和分子</x:v>
      </x:c>
      <x:c r="M10" s="22" t="str">
        <x:v>长期DOE/PNNL开发与JCP软件论文</x:v>
      </x:c>
      <x:c r="N10" s="22" t="str">
        <x:v>中到高：适合作为HPC后端</x:v>
      </x:c>
      <x:c r="O10" s="22" t="str">
        <x:v>桌面易用性和Python原生体验较弱</x:v>
      </x:c>
      <x:c r="P10" s="22" t="str">
        <x:v>10.1063/5.0004997</x:v>
      </x:c>
      <x:c r="Q10" s="30" t="str">
        <x:v>https://nwchemgit.github.io/</x:v>
      </x:c>
    </x:row>
    <x:row r="11" ht="54" customHeight="1">
      <x:c r="A11" s="29" t="str">
        <x:v>CP2K</x:v>
      </x:c>
      <x:c r="B11" s="22" t="str">
        <x:v>开源GPW电子结构与AIMD平台</x:v>
      </x:c>
      <x:c r="C11" s="22" t="str">
        <x:v>GPL开源</x:v>
      </x:c>
      <x:c r="D11" s="22" t="str">
        <x:v>中；输入文件/ASE等接口</x:v>
      </x:c>
      <x:c r="E11" s="22" t="str">
        <x:v>强</x:v>
      </x:c>
      <x:c r="F11" s="22" t="str">
        <x:v>极强</x:v>
      </x:c>
      <x:c r="G11" s="22" t="str">
        <x:v>中到强</x:v>
      </x:c>
      <x:c r="H11" s="22" t="str">
        <x:v>中</x:v>
      </x:c>
      <x:c r="I11" s="22" t="str">
        <x:v>强</x:v>
      </x:c>
      <x:c r="J11" s="22" t="str">
        <x:v>极强：HPC/AIMD</x:v>
      </x:c>
      <x:c r="K11" s="22" t="str">
        <x:v>弱</x:v>
      </x:c>
      <x:c r="L11" s="22" t="str">
        <x:v>周期材料、液体、界面、AIMD、QM/MM</x:v>
      </x:c>
      <x:c r="M11" s="22" t="str">
        <x:v>JCP综合软件论文和广泛材料/化学采用</x:v>
      </x:c>
      <x:c r="N11" s="22" t="str">
        <x:v>极高：周期场与时间序列后端</x:v>
      </x:c>
      <x:c r="O11" s="22" t="str">
        <x:v>输入复杂；输出/场格式和单位需专门适配</x:v>
      </x:c>
      <x:c r="P11" s="22" t="str">
        <x:v>10.1063/5.0007045</x:v>
      </x:c>
      <x:c r="Q11" s="30" t="str">
        <x:v>https://www.cp2k.org/</x:v>
      </x:c>
    </x:row>
    <x:row r="12" ht="54" customHeight="1">
      <x:c r="A12" s="29" t="str">
        <x:v>Quantum ESPRESSO</x:v>
      </x:c>
      <x:c r="B12" s="22" t="str">
        <x:v>开源平面波周期DFT生态</x:v>
      </x:c>
      <x:c r="C12" s="22" t="str">
        <x:v>GPL开源</x:v>
      </x:c>
      <x:c r="D12" s="22" t="str">
        <x:v>中；ASE/工作流生态</x:v>
      </x:c>
      <x:c r="E12" s="22" t="str">
        <x:v>弱</x:v>
      </x:c>
      <x:c r="F12" s="22" t="str">
        <x:v>极强</x:v>
      </x:c>
      <x:c r="G12" s="22" t="str">
        <x:v>有限</x:v>
      </x:c>
      <x:c r="H12" s="22" t="str">
        <x:v>有限</x:v>
      </x:c>
      <x:c r="I12" s="22" t="str">
        <x:v>强（材料性质）</x:v>
      </x:c>
      <x:c r="J12" s="22" t="str">
        <x:v>极强：HPC/exascale</x:v>
      </x:c>
      <x:c r="K12" s="22" t="str">
        <x:v>中；第三方GUI</x:v>
      </x:c>
      <x:c r="L12" s="22" t="str">
        <x:v>固体、表面、声子、材料</x:v>
      </x:c>
      <x:c r="M12" s="22" t="str">
        <x:v>大型国际社区和经典软件论文</x:v>
      </x:c>
      <x:c r="N12" s="22" t="str">
        <x:v>高：平面波场可统一适配</x:v>
      </x:c>
      <x:c r="O12" s="22" t="str">
        <x:v>不是分子高精度波函数主力；数据规模大</x:v>
      </x:c>
      <x:c r="P12" s="22" t="str">
        <x:v>10.1088/1361-648X/aa8f79</x:v>
      </x:c>
      <x:c r="Q12" s="30" t="str">
        <x:v>https://www.quantum-espresso.org/</x:v>
      </x:c>
    </x:row>
    <x:row r="13" ht="54" customHeight="1">
      <x:c r="A13" s="29" t="str">
        <x:v>VASP</x:v>
      </x:c>
      <x:c r="B13" s="22" t="str">
        <x:v>商业平面波周期电子结构标准程序</x:v>
      </x:c>
      <x:c r="C13" s="22" t="str">
        <x:v>商业许可</x:v>
      </x:c>
      <x:c r="D13" s="22" t="str">
        <x:v>低到中；外部工作流</x:v>
      </x:c>
      <x:c r="E13" s="22" t="str">
        <x:v>弱</x:v>
      </x:c>
      <x:c r="F13" s="22" t="str">
        <x:v>极强</x:v>
      </x:c>
      <x:c r="G13" s="22" t="str">
        <x:v>有限到中</x:v>
      </x:c>
      <x:c r="H13" s="22" t="str">
        <x:v>有限</x:v>
      </x:c>
      <x:c r="I13" s="22" t="str">
        <x:v>极强（材料）</x:v>
      </x:c>
      <x:c r="J13" s="22" t="str">
        <x:v>强：HPC</x:v>
      </x:c>
      <x:c r="K13" s="22" t="str">
        <x:v>中；第三方GUI</x:v>
      </x:c>
      <x:c r="L13" s="22" t="str">
        <x:v>工业/学术材料、表面、固体、AIMD</x:v>
      </x:c>
      <x:c r="M13" s="22" t="str">
        <x:v>材料领域长期装机和文献传统</x:v>
      </x:c>
      <x:c r="N13" s="22" t="str">
        <x:v>高：CHGCAR/PARCHG/LOCPOT直接相关</x:v>
      </x:c>
      <x:c r="O13" s="22" t="str">
        <x:v>商业许可；文件格式/单位/周期性需严格处理</x:v>
      </x:c>
      <x:c r="P13" s="22" t="str">
        <x:v>10.1103/PhysRevB.54.11169</x:v>
      </x:c>
      <x:c r="Q13" s="30" t="str">
        <x:v>https://www.vasp.at/</x:v>
      </x:c>
    </x:row>
    <x:row r="14" ht="54" customHeight="1">
      <x:c r="A14" s="29" t="str">
        <x:v>FHI-aims</x:v>
      </x:c>
      <x:c r="B14" s="22" t="str">
        <x:v>数值原子轨道全电子分子/固体程序</x:v>
      </x:c>
      <x:c r="C14" s="22" t="str">
        <x:v>学术/商业条款</x:v>
      </x:c>
      <x:c r="D14" s="22" t="str">
        <x:v>中；外部工作流</x:v>
      </x:c>
      <x:c r="E14" s="22" t="str">
        <x:v>强</x:v>
      </x:c>
      <x:c r="F14" s="22" t="str">
        <x:v>强</x:v>
      </x:c>
      <x:c r="G14" s="22" t="str">
        <x:v>中</x:v>
      </x:c>
      <x:c r="H14" s="22" t="str">
        <x:v>中</x:v>
      </x:c>
      <x:c r="I14" s="22" t="str">
        <x:v>强</x:v>
      </x:c>
      <x:c r="J14" s="22" t="str">
        <x:v>强：HPC</x:v>
      </x:c>
      <x:c r="K14" s="22" t="str">
        <x:v>弱</x:v>
      </x:c>
      <x:c r="L14" s="22" t="str">
        <x:v>全电子材料、表面、分子、精密DFT</x:v>
      </x:c>
      <x:c r="M14" s="22" t="str">
        <x:v>CPC软件论文和材料社区采用</x:v>
      </x:c>
      <x:c r="N14" s="22" t="str">
        <x:v>中到高：需支持非GTO来源场数据</x:v>
      </x:c>
      <x:c r="O14" s="22" t="str">
        <x:v>许可和格式适配；网格表示不同</x:v>
      </x:c>
      <x:c r="P14" s="22" t="str">
        <x:v>10.1016/j.cpc.2009.06.022</x:v>
      </x:c>
      <x:c r="Q14" s="30" t="str">
        <x:v>https://fhi-aims.org/</x:v>
      </x:c>
    </x:row>
    <x:row r="15" ht="54" customHeight="1">
      <x:c r="A15" s="29" t="str">
        <x:v>OpenMolcas</x:v>
      </x:c>
      <x:c r="B15" s="22" t="str">
        <x:v>开源多参考/光化学/磁性专长程序</x:v>
      </x:c>
      <x:c r="C15" s="22" t="str">
        <x:v>LGPL开源</x:v>
      </x:c>
      <x:c r="D15" s="22" t="str">
        <x:v>中；输入文件/接口</x:v>
      </x:c>
      <x:c r="E15" s="22" t="str">
        <x:v>强</x:v>
      </x:c>
      <x:c r="F15" s="22" t="str">
        <x:v>弱</x:v>
      </x:c>
      <x:c r="G15" s="22" t="str">
        <x:v>中</x:v>
      </x:c>
      <x:c r="H15" s="22" t="str">
        <x:v>极强</x:v>
      </x:c>
      <x:c r="I15" s="22" t="str">
        <x:v>强（光谱/磁性）</x:v>
      </x:c>
      <x:c r="J15" s="22" t="str">
        <x:v>CPU/HPC</x:v>
      </x:c>
      <x:c r="K15" s="22" t="str">
        <x:v>弱</x:v>
      </x:c>
      <x:c r="L15" s="22" t="str">
        <x:v>强相关、激发态、非绝热、过渡金属</x:v>
      </x:c>
      <x:c r="M15" s="22" t="str">
        <x:v>长期Molcas传统+OpenMolcas社区论文</x:v>
      </x:c>
      <x:c r="N15" s="22" t="str">
        <x:v>高：高级态密度/NTO/轨道可视化</x:v>
      </x:c>
      <x:c r="O15" s="22" t="str">
        <x:v>工作流复杂；轨道/态选择需要专家语义</x:v>
      </x:c>
      <x:c r="P15" s="22" t="str">
        <x:v>10.1063/5.0004835; 10.1021/acs.jctc.3c00182</x:v>
      </x:c>
      <x:c r="Q15" s="30" t="str">
        <x:v>https://gitlab.com/Molcas/OpenMolcas</x:v>
      </x:c>
    </x:row>
    <x:row r="16" ht="54" customHeight="1">
      <x:c r="A16" s="29" t="str">
        <x:v>Molpro</x:v>
      </x:c>
      <x:c r="B16" s="22" t="str">
        <x:v>高精度波函数与多参考商业/学术程序</x:v>
      </x:c>
      <x:c r="C16" s="22" t="str">
        <x:v>商业/许可</x:v>
      </x:c>
      <x:c r="D16" s="22" t="str">
        <x:v>中；输入文件</x:v>
      </x:c>
      <x:c r="E16" s="22" t="str">
        <x:v>强</x:v>
      </x:c>
      <x:c r="F16" s="22" t="str">
        <x:v>弱</x:v>
      </x:c>
      <x:c r="G16" s="22" t="str">
        <x:v>极强</x:v>
      </x:c>
      <x:c r="H16" s="22" t="str">
        <x:v>极强</x:v>
      </x:c>
      <x:c r="I16" s="22" t="str">
        <x:v>中</x:v>
      </x:c>
      <x:c r="J16" s="22" t="str">
        <x:v>CPU/HPC</x:v>
      </x:c>
      <x:c r="K16" s="22" t="str">
        <x:v>弱</x:v>
      </x:c>
      <x:c r="L16" s="22" t="str">
        <x:v>小中体系高精度、局域相关、多参考</x:v>
      </x:c>
      <x:c r="M16" s="22" t="str">
        <x:v>JCP软件论文和高精度基准传统</x:v>
      </x:c>
      <x:c r="N16" s="22" t="str">
        <x:v>中：作为数值金标准而非首个可视化后端</x:v>
      </x:c>
      <x:c r="O16" s="22" t="str">
        <x:v>许可；自动化和开放接口有限</x:v>
      </x:c>
      <x:c r="P16" s="22" t="str">
        <x:v>10.1063/5.0005081</x:v>
      </x:c>
      <x:c r="Q16" s="30" t="str">
        <x:v>https://www.molpro.net/</x:v>
      </x:c>
    </x:row>
    <x:row r="17" ht="54" customHeight="1">
      <x:c r="A17" s="29" t="str">
        <x:v>CFOUR</x:v>
      </x:c>
      <x:c r="B17" s="22" t="str">
        <x:v>高阶耦合簇和高分辨谱学</x:v>
      </x:c>
      <x:c r="C17" s="22" t="str">
        <x:v>学术许可/条款</x:v>
      </x:c>
      <x:c r="D17" s="22" t="str">
        <x:v>低到中</x:v>
      </x:c>
      <x:c r="E17" s="22" t="str">
        <x:v>强</x:v>
      </x:c>
      <x:c r="F17" s="22" t="str">
        <x:v>弱</x:v>
      </x:c>
      <x:c r="G17" s="22" t="str">
        <x:v>极强</x:v>
      </x:c>
      <x:c r="H17" s="22" t="str">
        <x:v>有限</x:v>
      </x:c>
      <x:c r="I17" s="22" t="str">
        <x:v>强（谱学）</x:v>
      </x:c>
      <x:c r="J17" s="22" t="str">
        <x:v>CPU/HPC</x:v>
      </x:c>
      <x:c r="K17" s="22" t="str">
        <x:v>弱</x:v>
      </x:c>
      <x:c r="L17" s="22" t="str">
        <x:v>小体系高精度基准、振动/转动谱</x:v>
      </x:c>
      <x:c r="M17" s="22" t="str">
        <x:v>高精度方法社区长期认可</x:v>
      </x:c>
      <x:c r="N17" s="22" t="str">
        <x:v>中：用于验证能量/梯度/Hessian</x:v>
      </x:c>
      <x:c r="O17" s="22" t="str">
        <x:v>适用体系规模有限；前端易用性弱</x:v>
      </x:c>
      <x:c r="P17" s="22" t="str">
        <x:v>10.1063/5.0004837</x:v>
      </x:c>
      <x:c r="Q17" s="30" t="str">
        <x:v>https://cfour.uni-mainz.de/cfour/</x:v>
      </x:c>
    </x:row>
    <x:row r="18" ht="54" customHeight="1">
      <x:c r="A18" s="29" t="str">
        <x:v>TeraChem</x:v>
      </x:c>
      <x:c r="B18" s="22" t="str">
        <x:v>GPU原生分子电子结构与AIMD</x:v>
      </x:c>
      <x:c r="C18" s="22" t="str">
        <x:v>商业/学术许可</x:v>
      </x:c>
      <x:c r="D18" s="22" t="str">
        <x:v>中；Python接口/外部工具</x:v>
      </x:c>
      <x:c r="E18" s="22" t="str">
        <x:v>强</x:v>
      </x:c>
      <x:c r="F18" s="22" t="str">
        <x:v>弱</x:v>
      </x:c>
      <x:c r="G18" s="22" t="str">
        <x:v>中</x:v>
      </x:c>
      <x:c r="H18" s="22" t="str">
        <x:v>有限</x:v>
      </x:c>
      <x:c r="I18" s="22" t="str">
        <x:v>强</x:v>
      </x:c>
      <x:c r="J18" s="22" t="str">
        <x:v>极强：GPU</x:v>
      </x:c>
      <x:c r="K18" s="22" t="str">
        <x:v>中</x:v>
      </x:c>
      <x:c r="L18" s="22" t="str">
        <x:v>GPU DFT、AIMD、激发态/动力学</x:v>
      </x:c>
      <x:c r="M18" s="22" t="str">
        <x:v>同行评议软件论文和GPU性能传统</x:v>
      </x:c>
      <x:c r="N18" s="22" t="str">
        <x:v>高：实时/时间序列可视化潜力</x:v>
      </x:c>
      <x:c r="O18" s="22" t="str">
        <x:v>GPU硬件/许可依赖；方法覆盖与CPU程序不同</x:v>
      </x:c>
      <x:c r="P18" s="22" t="str">
        <x:v>10.1002/wcms.1494</x:v>
      </x:c>
      <x:c r="Q18" s="30" t="str">
        <x:v>https://www.petachem.com/</x:v>
      </x:c>
    </x:row>
    <x:row r="19" ht="54" customHeight="1">
      <x:c r="A19" s="29" t="str">
        <x:v>GAMESS</x:v>
      </x:c>
      <x:c r="B19" s="22" t="str">
        <x:v>长期维护的通用分子量子化学程序</x:v>
      </x:c>
      <x:c r="C19" s="22" t="str">
        <x:v>免费/许可条款</x:v>
      </x:c>
      <x:c r="D19" s="22" t="str">
        <x:v>低到中</x:v>
      </x:c>
      <x:c r="E19" s="22" t="str">
        <x:v>强</x:v>
      </x:c>
      <x:c r="F19" s="22" t="str">
        <x:v>有限</x:v>
      </x:c>
      <x:c r="G19" s="22" t="str">
        <x:v>强</x:v>
      </x:c>
      <x:c r="H19" s="22" t="str">
        <x:v>强</x:v>
      </x:c>
      <x:c r="I19" s="22" t="str">
        <x:v>强</x:v>
      </x:c>
      <x:c r="J19" s="22" t="str">
        <x:v>CPU/HPC；部分GPU</x:v>
      </x:c>
      <x:c r="K19" s="22" t="str">
        <x:v>弱</x:v>
      </x:c>
      <x:c r="L19" s="22" t="str">
        <x:v>教育、通用分子计算、方法开发</x:v>
      </x:c>
      <x:c r="M19" s="22" t="str">
        <x:v>长期社区、软件论文和大量历史文献</x:v>
      </x:c>
      <x:c r="N19" s="22" t="str">
        <x:v>中到高：标准文件适配</x:v>
      </x:c>
      <x:c r="O19" s="22" t="str">
        <x:v>输入/输出传统；自动化体验相对弱</x:v>
      </x:c>
      <x:c r="P19" s="22" t="str">
        <x:v>10.1021/acs.jctc.3c00379</x:v>
      </x:c>
      <x:c r="Q19" s="30" t="str">
        <x:v>https://www.msg.chem.iastate.edu/gamess/</x:v>
      </x:c>
    </x:row>
    <x:row r="20" ht="54" customHeight="1">
      <x:c r="A20" s="29" t="str">
        <x:v>xTB</x:v>
      </x:c>
      <x:c r="B20" s="22" t="str">
        <x:v>快速紧束缚/半经验量子化学</x:v>
      </x:c>
      <x:c r="C20" s="22" t="str">
        <x:v>开源</x:v>
      </x:c>
      <x:c r="D20" s="22" t="str">
        <x:v>强：命令行/Python生态</x:v>
      </x:c>
      <x:c r="E20" s="22" t="str">
        <x:v>强</x:v>
      </x:c>
      <x:c r="F20" s="22" t="str">
        <x:v>有限</x:v>
      </x:c>
      <x:c r="G20" s="22" t="str">
        <x:v>不适用</x:v>
      </x:c>
      <x:c r="H20" s="22" t="str">
        <x:v>不适用</x:v>
      </x:c>
      <x:c r="I20" s="22" t="str">
        <x:v>快速性质/溶剂</x:v>
      </x:c>
      <x:c r="J20" s="22" t="str">
        <x:v>CPU；极快</x:v>
      </x:c>
      <x:c r="K20" s="22" t="str">
        <x:v>中；多工具集成</x:v>
      </x:c>
      <x:c r="L20" s="22" t="str">
        <x:v>构象、预优化、大体系、高通量</x:v>
      </x:c>
      <x:c r="M20" s="22" t="str">
        <x:v>GFN系列方法论文和广泛高通量采用</x:v>
      </x:c>
      <x:c r="N20" s="22" t="str">
        <x:v>高：快速预览后端</x:v>
      </x:c>
      <x:c r="O20" s="22" t="str">
        <x:v>精度层级不同，不能与从头算直接等价比较</x:v>
      </x:c>
      <x:c r="P20" s="22" t="str">
        <x:v>10.1021/acs.jctc.8b01176</x:v>
      </x:c>
      <x:c r="Q20" s="30" t="str">
        <x:v>https://github.com/grimme-lab/xtb</x:v>
      </x:c>
    </x:row>
    <x:row r="21" ht="54" customHeight="1">
      <x:c r="A21" s="29" t="str">
        <x:v>DFTB+</x:v>
      </x:c>
      <x:c r="B21" s="22" t="str">
        <x:v>近似DFT/紧束缚大体系模拟</x:v>
      </x:c>
      <x:c r="C21" s="22" t="str">
        <x:v>GPL开源</x:v>
      </x:c>
      <x:c r="D21" s="22" t="str">
        <x:v>中；ASE等</x:v>
      </x:c>
      <x:c r="E21" s="22" t="str">
        <x:v>强</x:v>
      </x:c>
      <x:c r="F21" s="22" t="str">
        <x:v>强</x:v>
      </x:c>
      <x:c r="G21" s="22" t="str">
        <x:v>不适用</x:v>
      </x:c>
      <x:c r="H21" s="22" t="str">
        <x:v>有限</x:v>
      </x:c>
      <x:c r="I21" s="22" t="str">
        <x:v>中</x:v>
      </x:c>
      <x:c r="J21" s="22" t="str">
        <x:v>强：大体系/HPC</x:v>
      </x:c>
      <x:c r="K21" s="22" t="str">
        <x:v>弱</x:v>
      </x:c>
      <x:c r="L21" s="22" t="str">
        <x:v>材料、生物、大体系动力学</x:v>
      </x:c>
      <x:c r="M21" s="22" t="str">
        <x:v>JCP软件论文与成熟社区</x:v>
      </x:c>
      <x:c r="N21" s="22" t="str">
        <x:v>高：大体数据和动态场</x:v>
      </x:c>
      <x:c r="O21" s="22" t="str">
        <x:v>参数集依赖强；结果语义需显式标注</x:v>
      </x:c>
      <x:c r="P21" s="22" t="str">
        <x:v>10.1063/1.5143190</x:v>
      </x:c>
      <x:c r="Q21" s="30" t="str">
        <x:v>https://dftbplus.org/</x:v>
      </x:c>
    </x:row>
    <x:row r="22" ht="54" customHeight="1">
      <x:c r="A22" s="31" t="str">
        <x:v>Jaguar</x:v>
      </x:c>
      <x:c r="B22" s="32" t="str">
        <x:v>Schrödinger商业分子量子化学引擎</x:v>
      </x:c>
      <x:c r="C22" s="32" t="str">
        <x:v>商业许可</x:v>
      </x:c>
      <x:c r="D22" s="32" t="str">
        <x:v>中；平台API</x:v>
      </x:c>
      <x:c r="E22" s="32" t="str">
        <x:v>强</x:v>
      </x:c>
      <x:c r="F22" s="32" t="str">
        <x:v>弱</x:v>
      </x:c>
      <x:c r="G22" s="32" t="str">
        <x:v>中到强</x:v>
      </x:c>
      <x:c r="H22" s="32" t="str">
        <x:v>有限</x:v>
      </x:c>
      <x:c r="I22" s="32" t="str">
        <x:v>强</x:v>
      </x:c>
      <x:c r="J22" s="32" t="str">
        <x:v>企业平台/HPC</x:v>
      </x:c>
      <x:c r="K22" s="32" t="str">
        <x:v>强：Maestro</x:v>
      </x:c>
      <x:c r="L22" s="32" t="str">
        <x:v>药物化学、反应、性质、企业工作流</x:v>
      </x:c>
      <x:c r="M22" s="32" t="str">
        <x:v>商业制药/材料平台采用；公开独立使用统计有限</x:v>
      </x:c>
      <x:c r="N22" s="32" t="str">
        <x:v>中：企业调查中应单列</x:v>
      </x:c>
      <x:c r="O22" s="32" t="str">
        <x:v>闭源/许可；外部格式和自动化受平台约束</x:v>
      </x:c>
      <x:c r="P22" s="32" t="str">
        <x:v>Vendor documentation</x:v>
      </x:c>
      <x:c r="Q22" s="33" t="str">
        <x:v>https://www.schrodinger.com/platform/products/jaguar/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6eb368a973644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4" hidden="0" customWidth="1"/>
    <x:col min="4" max="4" width="18" hidden="0" customWidth="1"/>
    <x:col min="5" max="5" width="48" hidden="0" customWidth="1"/>
    <x:col min="6" max="6" width="8" hidden="0" customWidth="1"/>
    <x:col min="7" max="7" width="24" hidden="0" customWidth="1"/>
    <x:col min="8" max="8" width="24" hidden="0" customWidth="1"/>
    <x:col min="9" max="9" width="22" hidden="0" customWidth="1"/>
  </x:cols>
  <x:sheetData>
    <x:row r="1" ht="32" customHeight="1">
      <x:c r="A1" s="5" t="str">
        <x:v>量子化学软件采用与可视化需求问卷题库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2" t="str">
        <x:v>建议控制在8–10分钟；先问过去12个月实际行为，再问态度，避免直接引导“PySCF是否被认可”。</x:v>
      </x:c>
      <x:c r="B2" s="12"/>
      <x:c r="C2" s="12"/>
      <x:c r="D2" s="12"/>
      <x:c r="E2" s="12"/>
      <x:c r="F2" s="12"/>
      <x:c r="G2" s="12"/>
      <x:c r="H2" s="12"/>
      <x:c r="I2" s="12"/>
    </x:row>
    <x:row r="4" ht="48" customHeight="1">
      <x:c r="A4" s="98" t="str">
        <x:v>编号</x:v>
      </x:c>
      <x:c r="B4" s="102" t="str">
        <x:v>模块</x:v>
      </x:c>
      <x:c r="C4" s="102" t="str">
        <x:v>题目</x:v>
      </x:c>
      <x:c r="D4" s="102" t="str">
        <x:v>题型</x:v>
      </x:c>
      <x:c r="E4" s="102" t="str">
        <x:v>选项/量表</x:v>
      </x:c>
      <x:c r="F4" s="102" t="str">
        <x:v>必答</x:v>
      </x:c>
      <x:c r="G4" s="102" t="str">
        <x:v>分支逻辑</x:v>
      </x:c>
      <x:c r="H4" s="102" t="str">
        <x:v>测量目的</x:v>
      </x:c>
      <x:c r="I4" s="99" t="str">
        <x:v>建议编码</x:v>
      </x:c>
    </x:row>
    <x:row r="5" ht="48" customHeight="1">
      <x:c r="A5" s="29" t="str">
        <x:v>Q01</x:v>
      </x:c>
      <x:c r="B5" s="22" t="str">
        <x:v>筛选</x:v>
      </x:c>
      <x:c r="C5" s="22" t="str">
        <x:v>您的主要工作身份是？</x:v>
      </x:c>
      <x:c r="D5" s="22" t="str">
        <x:v>单选</x:v>
      </x:c>
      <x:c r="E5" s="22" t="str">
        <x:v>高校教师/研究员；博士后；博士生；硕士生；工业研发；软件/基础设施开发；其他</x:v>
      </x:c>
      <x:c r="F5" s="22" t="str">
        <x:v>是</x:v>
      </x:c>
      <x:c r="G5" s="22" t="str"/>
      <x:c r="H5" s="22" t="str">
        <x:v>样本分层</x:v>
      </x:c>
      <x:c r="I5" s="30" t="str">
        <x:v>role</x:v>
      </x:c>
    </x:row>
    <x:row r="6" ht="48" customHeight="1">
      <x:c r="A6" s="29" t="str">
        <x:v>Q02</x:v>
      </x:c>
      <x:c r="B6" s="22" t="str">
        <x:v>筛选</x:v>
      </x:c>
      <x:c r="C6" s="22" t="str">
        <x:v>您所在机构主要属于？</x:v>
      </x:c>
      <x:c r="D6" s="22" t="str">
        <x:v>单选</x:v>
      </x:c>
      <x:c r="E6" s="22" t="str">
        <x:v>高校/科研院所；制药/生物技术；材料/能源；化工；软件/云计算；政府/国家实验室；其他</x:v>
      </x:c>
      <x:c r="F6" s="22" t="str">
        <x:v>是</x:v>
      </x:c>
      <x:c r="G6" s="22" t="str"/>
      <x:c r="H6" s="22" t="str">
        <x:v>行业分层</x:v>
      </x:c>
      <x:c r="I6" s="30" t="str">
        <x:v>sector</x:v>
      </x:c>
    </x:row>
    <x:row r="7" ht="48" customHeight="1">
      <x:c r="A7" s="29" t="str">
        <x:v>Q03</x:v>
      </x:c>
      <x:c r="B7" s="22" t="str">
        <x:v>背景</x:v>
      </x:c>
      <x:c r="C7" s="22" t="str">
        <x:v>您使用量子化学/电子结构计算的年限？</x:v>
      </x:c>
      <x:c r="D7" s="22" t="str">
        <x:v>单选</x:v>
      </x:c>
      <x:c r="E7" s="22" t="str">
        <x:v>&lt;1；1–3；4–7；8–15；&gt;15年</x:v>
      </x:c>
      <x:c r="F7" s="22" t="str">
        <x:v>是</x:v>
      </x:c>
      <x:c r="G7" s="22" t="str"/>
      <x:c r="H7" s="22" t="str">
        <x:v>经验控制变量</x:v>
      </x:c>
      <x:c r="I7" s="30" t="str">
        <x:v>experience_years</x:v>
      </x:c>
    </x:row>
    <x:row r="8" ht="48" customHeight="1">
      <x:c r="A8" s="29" t="str">
        <x:v>Q04</x:v>
      </x:c>
      <x:c r="B8" s="22" t="str">
        <x:v>背景</x:v>
      </x:c>
      <x:c r="C8" s="22" t="str">
        <x:v>您的主要研究对象是？</x:v>
      </x:c>
      <x:c r="D8" s="22" t="str">
        <x:v>多选</x:v>
      </x:c>
      <x:c r="E8" s="22" t="str">
        <x:v>有机小分子；药物/生物分子；过渡金属/催化；激发态/光化学；固体/表面/二维材料；液体/界面；方法开发；教学；其他</x:v>
      </x:c>
      <x:c r="F8" s="22" t="str">
        <x:v>是</x:v>
      </x:c>
      <x:c r="G8" s="22" t="str"/>
      <x:c r="H8" s="22" t="str">
        <x:v>领域分层</x:v>
      </x:c>
      <x:c r="I8" s="30" t="str">
        <x:v>domain</x:v>
      </x:c>
    </x:row>
    <x:row r="9" ht="48" customHeight="1">
      <x:c r="A9" s="29" t="str">
        <x:v>Q05</x:v>
      </x:c>
      <x:c r="B9" s="22" t="str">
        <x:v>行为</x:v>
      </x:c>
      <x:c r="C9" s="22" t="str">
        <x:v>过去12个月实际运行过哪些量子化学/电子结构程序？</x:v>
      </x:c>
      <x:c r="D9" s="22" t="str">
        <x:v>多选</x:v>
      </x:c>
      <x:c r="E9" s="22" t="str">
        <x:v>Gaussian；ORCA；PySCF；Psi4；Q-Chem；NWChem；CP2K；VASP；Quantum ESPRESSO；FHI-aims；OpenMolcas；Molpro；CFOUR；GAMESS；TeraChem；Jaguar；xTB；DFTB+；其他</x:v>
      </x:c>
      <x:c r="F9" s="22" t="str">
        <x:v>是</x:v>
      </x:c>
      <x:c r="G9" s="22" t="str"/>
      <x:c r="H9" s="22" t="str">
        <x:v>行为而非认知</x:v>
      </x:c>
      <x:c r="I9" s="30" t="str">
        <x:v>used_12m</x:v>
      </x:c>
    </x:row>
    <x:row r="10" ht="48" customHeight="1">
      <x:c r="A10" s="29" t="str">
        <x:v>Q06</x:v>
      </x:c>
      <x:c r="B10" s="22" t="str">
        <x:v>行为</x:v>
      </x:c>
      <x:c r="C10" s="22" t="str">
        <x:v>过去12个月您使用频率最高的主程序是？</x:v>
      </x:c>
      <x:c r="D10" s="22" t="str">
        <x:v>单选</x:v>
      </x:c>
      <x:c r="E10" s="22" t="str">
        <x:v>同Q05选项</x:v>
      </x:c>
      <x:c r="F10" s="22" t="str">
        <x:v>是</x:v>
      </x:c>
      <x:c r="G10" s="22" t="str"/>
      <x:c r="H10" s="22" t="str">
        <x:v>主后端</x:v>
      </x:c>
      <x:c r="I10" s="30" t="str">
        <x:v>primary_engine</x:v>
      </x:c>
    </x:row>
    <x:row r="11" ht="48" customHeight="1">
      <x:c r="A11" s="29" t="str">
        <x:v>Q07</x:v>
      </x:c>
      <x:c r="B11" s="22" t="str">
        <x:v>行为</x:v>
      </x:c>
      <x:c r="C11" s="22" t="str">
        <x:v>您通常如何使用主程序？</x:v>
      </x:c>
      <x:c r="D11" s="22" t="str">
        <x:v>多选</x:v>
      </x:c>
      <x:c r="E11" s="22" t="str">
        <x:v>GUI；手写输入文件；Shell脚本；Python API/Notebook；工作流系统；云平台；他人代跑</x:v>
      </x:c>
      <x:c r="F11" s="22" t="str">
        <x:v>是</x:v>
      </x:c>
      <x:c r="G11" s="22" t="str"/>
      <x:c r="H11" s="22" t="str">
        <x:v>工作流模式</x:v>
      </x:c>
      <x:c r="I11" s="30" t="str">
        <x:v>access_mode</x:v>
      </x:c>
    </x:row>
    <x:row r="12" ht="48" customHeight="1">
      <x:c r="A12" s="29" t="str">
        <x:v>Q08</x:v>
      </x:c>
      <x:c r="B12" s="22" t="str">
        <x:v>决策</x:v>
      </x:c>
      <x:c r="C12" s="22" t="str">
        <x:v>选择计算程序时，请评价以下因素的重要性。</x:v>
      </x:c>
      <x:c r="D12" s="22" t="str">
        <x:v>矩阵5点量表</x:v>
      </x:c>
      <x:c r="E12" s="22" t="str">
        <x:v>数值可靠性；已有文献/同行采用；方法覆盖；速度；GPU/HPC；易安装；GUI；Python/API；许可成本；商业支持；开源可审计；与现有流程兼容</x:v>
      </x:c>
      <x:c r="F12" s="22" t="str">
        <x:v>是</x:v>
      </x:c>
      <x:c r="G12" s="22" t="str"/>
      <x:c r="H12" s="22" t="str">
        <x:v>选择驱动因素</x:v>
      </x:c>
      <x:c r="I12" s="30" t="str">
        <x:v>choice_factors</x:v>
      </x:c>
    </x:row>
    <x:row r="13" ht="48" customHeight="1">
      <x:c r="A13" s="29" t="str">
        <x:v>Q09</x:v>
      </x:c>
      <x:c r="B13" s="22" t="str">
        <x:v>信任</x:v>
      </x:c>
      <x:c r="C13" s="22" t="str">
        <x:v>什么证据最能提高您对一个量子化学程序结果的信任？</x:v>
      </x:c>
      <x:c r="D13" s="22" t="str">
        <x:v>最多选3项</x:v>
      </x:c>
      <x:c r="E13" s="22" t="str">
        <x:v>同行评议软件论文；独立跨代码基准；与实验吻合；源代码可见；自动测试；长期版本稳定；实验室/同事惯例；厂商支持；高引用量；大型用户群</x:v>
      </x:c>
      <x:c r="F13" s="22" t="str">
        <x:v>是</x:v>
      </x:c>
      <x:c r="G13" s="22" t="str"/>
      <x:c r="H13" s="22" t="str">
        <x:v>认可度构成</x:v>
      </x:c>
      <x:c r="I13" s="30" t="str">
        <x:v>trust_evidence</x:v>
      </x:c>
    </x:row>
    <x:row r="14" ht="48" customHeight="1">
      <x:c r="A14" s="29" t="str">
        <x:v>Q10</x:v>
      </x:c>
      <x:c r="B14" s="22" t="str">
        <x:v>认知</x:v>
      </x:c>
      <x:c r="C14" s="22" t="str">
        <x:v>在本问卷前，您对PySCF的了解程度？</x:v>
      </x:c>
      <x:c r="D14" s="22" t="str">
        <x:v>单选</x:v>
      </x:c>
      <x:c r="E14" s="22" t="str">
        <x:v>未听说；听说但不了解；读过论文/文档；试用过；经常使用；参与开发</x:v>
      </x:c>
      <x:c r="F14" s="22" t="str">
        <x:v>是</x:v>
      </x:c>
      <x:c r="G14" s="22" t="str"/>
      <x:c r="H14" s="22" t="str">
        <x:v>PySCF漏斗</x:v>
      </x:c>
      <x:c r="I14" s="30" t="str">
        <x:v>pyscf_awareness</x:v>
      </x:c>
    </x:row>
    <x:row r="15" ht="48" customHeight="1">
      <x:c r="A15" s="29" t="str">
        <x:v>Q11</x:v>
      </x:c>
      <x:c r="B15" s="22" t="str">
        <x:v>PySCF使用</x:v>
      </x:c>
      <x:c r="C15" s="22" t="str">
        <x:v>您过去12个月是否实际运行过PySCF？</x:v>
      </x:c>
      <x:c r="D15" s="22" t="str">
        <x:v>单选</x:v>
      </x:c>
      <x:c r="E15" s="22" t="str">
        <x:v>是；否</x:v>
      </x:c>
      <x:c r="F15" s="22" t="str">
        <x:v>是</x:v>
      </x:c>
      <x:c r="G15" s="22" t="str">
        <x:v>是→Q12；否→Q16</x:v>
      </x:c>
      <x:c r="H15" s="22" t="str">
        <x:v>使用分支</x:v>
      </x:c>
      <x:c r="I15" s="30" t="str">
        <x:v>pyscf_used</x:v>
      </x:c>
    </x:row>
    <x:row r="16" ht="48" customHeight="1">
      <x:c r="A16" s="29" t="str">
        <x:v>Q12</x:v>
      </x:c>
      <x:c r="B16" s="22" t="str">
        <x:v>PySCF使用</x:v>
      </x:c>
      <x:c r="C16" s="22" t="str">
        <x:v>您使用PySCF的任务有哪些？</x:v>
      </x:c>
      <x:c r="D16" s="22" t="str">
        <x:v>多选</x:v>
      </x:c>
      <x:c r="E16" s="22" t="str">
        <x:v>HF/DFT；MP2/CC；CASSCF/多参考；激发态；周期体系；QM/MM；性质/谱学；方法开发；数据集/机器学习；教学；其他</x:v>
      </x:c>
      <x:c r="F16" s="22" t="str">
        <x:v>是</x:v>
      </x:c>
      <x:c r="G16" s="22" t="str">
        <x:v>仅Q11=是</x:v>
      </x:c>
      <x:c r="H16" s="22" t="str">
        <x:v>实际场景</x:v>
      </x:c>
      <x:c r="I16" s="30" t="str">
        <x:v>pyscf_tasks</x:v>
      </x:c>
    </x:row>
    <x:row r="17" ht="48" customHeight="1">
      <x:c r="A17" s="29" t="str">
        <x:v>Q13</x:v>
      </x:c>
      <x:c r="B17" s="22" t="str">
        <x:v>PySCF评价</x:v>
      </x:c>
      <x:c r="C17" s="22" t="str">
        <x:v>请评价PySCF在以下方面的表现。</x:v>
      </x:c>
      <x:c r="D17" s="22" t="str">
        <x:v>矩阵5点量表+不了解</x:v>
      </x:c>
      <x:c r="E17" s="22" t="str">
        <x:v>数值可信；方法覆盖；性能；Python可编程性；文档；安装；报错可诊断性；版本稳定；GPU；与其他工具互操作</x:v>
      </x:c>
      <x:c r="F17" s="22" t="str">
        <x:v>是</x:v>
      </x:c>
      <x:c r="G17" s="22" t="str">
        <x:v>仅Q11=是</x:v>
      </x:c>
      <x:c r="H17" s="22" t="str">
        <x:v>优势/短板</x:v>
      </x:c>
      <x:c r="I17" s="30" t="str">
        <x:v>pyscf_rating</x:v>
      </x:c>
    </x:row>
    <x:row r="18" ht="48" customHeight="1">
      <x:c r="A18" s="29" t="str">
        <x:v>Q14</x:v>
      </x:c>
      <x:c r="B18" s="22" t="str">
        <x:v>PySCF验证</x:v>
      </x:c>
      <x:c r="C18" s="22" t="str">
        <x:v>您是否曾将PySCF结果与其他程序交叉验证？</x:v>
      </x:c>
      <x:c r="D18" s="22" t="str">
        <x:v>单选+多选</x:v>
      </x:c>
      <x:c r="E18" s="22" t="str">
        <x:v>从未；Gaussian；ORCA；Psi4；Q-Chem；Molpro/CFOUR；其他</x:v>
      </x:c>
      <x:c r="F18" s="22" t="str">
        <x:v>是</x:v>
      </x:c>
      <x:c r="G18" s="22" t="str">
        <x:v>仅Q11=是</x:v>
      </x:c>
      <x:c r="H18" s="22" t="str">
        <x:v>真实验证行为</x:v>
      </x:c>
      <x:c r="I18" s="30" t="str">
        <x:v>pyscf_crosscheck</x:v>
      </x:c>
    </x:row>
    <x:row r="19" ht="48" customHeight="1">
      <x:c r="A19" s="29" t="str">
        <x:v>Q15</x:v>
      </x:c>
      <x:c r="B19" s="22" t="str">
        <x:v>PySCF问题</x:v>
      </x:c>
      <x:c r="C19" s="22" t="str">
        <x:v>您遇到过哪些PySCF障碍？</x:v>
      </x:c>
      <x:c r="D19" s="22" t="str">
        <x:v>多选</x:v>
      </x:c>
      <x:c r="E19" s="22" t="str">
        <x:v>安装/Windows；收敛；默认设置不清；性能；缺少方法/性质；文档；GUI；输出后处理；团队不熟悉；许可/合规；无明显障碍；其他</x:v>
      </x:c>
      <x:c r="F19" s="22" t="str">
        <x:v>否</x:v>
      </x:c>
      <x:c r="G19" s="22" t="str">
        <x:v>仅Q11=是</x:v>
      </x:c>
      <x:c r="H19" s="22" t="str">
        <x:v>采用障碍</x:v>
      </x:c>
      <x:c r="I19" s="30" t="str">
        <x:v>pyscf_barriers_user</x:v>
      </x:c>
    </x:row>
    <x:row r="20" ht="48" customHeight="1">
      <x:c r="A20" s="29" t="str">
        <x:v>Q16</x:v>
      </x:c>
      <x:c r="B20" s="22" t="str">
        <x:v>未使用原因</x:v>
      </x:c>
      <x:c r="C20" s="22" t="str">
        <x:v>您未使用PySCF的主要原因？</x:v>
      </x:c>
      <x:c r="D20" s="22" t="str">
        <x:v>最多选3项</x:v>
      </x:c>
      <x:c r="E20" s="22" t="str">
        <x:v>主程序已满足；不了解；缺少GUI；团队标准不是PySCF；担心认可度；担心数值一致性；安装/Windows；缺少所需方法；性能；商业支持；其他</x:v>
      </x:c>
      <x:c r="F20" s="22" t="str">
        <x:v>是</x:v>
      </x:c>
      <x:c r="G20" s="22" t="str">
        <x:v>仅Q11=否</x:v>
      </x:c>
      <x:c r="H20" s="22" t="str">
        <x:v>非用户障碍</x:v>
      </x:c>
      <x:c r="I20" s="30" t="str">
        <x:v>pyscf_barriers_nonuser</x:v>
      </x:c>
    </x:row>
    <x:row r="21" ht="48" customHeight="1">
      <x:c r="A21" s="29" t="str">
        <x:v>Q17</x:v>
      </x:c>
      <x:c r="B21" s="22" t="str">
        <x:v>认可度</x:v>
      </x:c>
      <x:c r="C21" s="22" t="str">
        <x:v>在相同理论方法、基组/ECP、积分网格、收敛阈值和其他设置被严格统一且通过基准后，您是否愿意在论文/项目中采用PySCF结果？</x:v>
      </x:c>
      <x:c r="D21" s="22" t="str">
        <x:v>5点量表</x:v>
      </x:c>
      <x:c r="E21" s="22" t="str">
        <x:v>完全不愿意–完全愿意</x:v>
      </x:c>
      <x:c r="F21" s="22" t="str">
        <x:v>是</x:v>
      </x:c>
      <x:c r="G21" s="22" t="str"/>
      <x:c r="H21" s="22" t="str">
        <x:v>去除品牌混杂后的接受度</x:v>
      </x:c>
      <x:c r="I21" s="30" t="str">
        <x:v>pyscf_accept_controlled</x:v>
      </x:c>
    </x:row>
    <x:row r="22" ht="48" customHeight="1">
      <x:c r="A22" s="29" t="str">
        <x:v>Q18</x:v>
      </x:c>
      <x:c r="B22" s="22" t="str">
        <x:v>认可度</x:v>
      </x:c>
      <x:c r="C22" s="22" t="str">
        <x:v>以下哪一项最接近您的看法？</x:v>
      </x:c>
      <x:c r="D22" s="22" t="str">
        <x:v>单选</x:v>
      </x:c>
      <x:c r="E22" s="22" t="str">
        <x:v>程序品牌本身决定可信度；主要由方法和协议决定；两者同等重要；取决于具体任务；不确定</x:v>
      </x:c>
      <x:c r="F22" s="22" t="str">
        <x:v>是</x:v>
      </x:c>
      <x:c r="G22" s="22" t="str"/>
      <x:c r="H22" s="22" t="str">
        <x:v>品牌与协议观念</x:v>
      </x:c>
      <x:c r="I22" s="30" t="str">
        <x:v>brand_vs_protocol</x:v>
      </x:c>
    </x:row>
    <x:row r="23" ht="48" customHeight="1">
      <x:c r="A23" s="29" t="str">
        <x:v>Q19</x:v>
      </x:c>
      <x:c r="B23" s="22" t="str">
        <x:v>可视化行为</x:v>
      </x:c>
      <x:c r="C23" s="22" t="str">
        <x:v>您目前使用哪些工具查看轨道、密度或其他三维场？</x:v>
      </x:c>
      <x:c r="D23" s="22" t="str">
        <x:v>多选</x:v>
      </x:c>
      <x:c r="E23" s="22" t="str">
        <x:v>GaussView；Avogadro；VMD；PyMOL；Jmol/JSmol；Multiwfn/VMD；VESTA；Blender插件；自写脚本；其他；不使用</x:v>
      </x:c>
      <x:c r="F23" s="22" t="str">
        <x:v>是</x:v>
      </x:c>
      <x:c r="G23" s="22" t="str"/>
      <x:c r="H23" s="22" t="str">
        <x:v>竞品与工作流</x:v>
      </x:c>
      <x:c r="I23" s="30" t="str">
        <x:v>viz_tools</x:v>
      </x:c>
    </x:row>
    <x:row r="24" ht="48" customHeight="1">
      <x:c r="A24" s="29" t="str">
        <x:v>Q20</x:v>
      </x:c>
      <x:c r="B24" s="22" t="str">
        <x:v>可视化对象</x:v>
      </x:c>
      <x:c r="C24" s="22" t="str">
        <x:v>您实际需要可视化哪些量？</x:v>
      </x:c>
      <x:c r="D24" s="22" t="str">
        <x:v>多选</x:v>
      </x:c>
      <x:c r="E24" s="22" t="str">
        <x:v>分子轨道；总电子密度；自旋密度；静电势；差分密度；NTO/跃迁密度；ELF/LOL；局域轨道；周期电荷密度；时间相关密度/波函数；拓扑临界点；其他</x:v>
      </x:c>
      <x:c r="F24" s="22" t="str">
        <x:v>是</x:v>
      </x:c>
      <x:c r="G24" s="22" t="str"/>
      <x:c r="H24" s="22" t="str">
        <x:v>功能优先级</x:v>
      </x:c>
      <x:c r="I24" s="30" t="str">
        <x:v>field_types</x:v>
      </x:c>
    </x:row>
    <x:row r="25" ht="48" customHeight="1">
      <x:c r="A25" s="29" t="str">
        <x:v>Q21</x:v>
      </x:c>
      <x:c r="B25" s="22" t="str">
        <x:v>痛点</x:v>
      </x:c>
      <x:c r="C25" s="22" t="str">
        <x:v>当前量子化学可视化中最耗时或最容易出错的环节是什么？</x:v>
      </x:c>
      <x:c r="D25" s="22" t="str">
        <x:v>最多选3项</x:v>
      </x:c>
      <x:c r="E25" s="22" t="str">
        <x:v>计算到格式转换；单位/坐标/周期边界；选择等值面阈值；正负相位；批量处理；动画；材质/灯光；复现实验参数；超大网格内存；软件兼容；其他</x:v>
      </x:c>
      <x:c r="F25" s="22" t="str">
        <x:v>是</x:v>
      </x:c>
      <x:c r="G25" s="22" t="str"/>
      <x:c r="H25" s="22" t="str">
        <x:v>产品问题验证</x:v>
      </x:c>
      <x:c r="I25" s="30" t="str">
        <x:v>viz_pain</x:v>
      </x:c>
    </x:row>
    <x:row r="26" ht="48" customHeight="1">
      <x:c r="A26" s="29" t="str">
        <x:v>Q22</x:v>
      </x:c>
      <x:c r="B26" s="22" t="str">
        <x:v>概念测试</x:v>
      </x:c>
      <x:c r="C26" s="22" t="str">
        <x:v>一个“引擎无关”的工具可从PySCF/Gaussian/ORCA等读取计算与元数据，验证cube/场数据，生成OpenVDB并在Blender中自动创建可复现场景。您认为其价值如何？</x:v>
      </x:c>
      <x:c r="D26" s="22" t="str">
        <x:v>5点量表</x:v>
      </x:c>
      <x:c r="E26" s="22" t="str">
        <x:v>完全无价值–非常有价值</x:v>
      </x:c>
      <x:c r="F26" s="22" t="str">
        <x:v>是</x:v>
      </x:c>
      <x:c r="G26" s="22" t="str"/>
      <x:c r="H26" s="22" t="str">
        <x:v>价值主张</x:v>
      </x:c>
      <x:c r="I26" s="30" t="str">
        <x:v>pipeline_value</x:v>
      </x:c>
    </x:row>
    <x:row r="27" ht="48" customHeight="1">
      <x:c r="A27" s="29" t="str">
        <x:v>Q23</x:v>
      </x:c>
      <x:c r="B27" s="22" t="str">
        <x:v>功能排序</x:v>
      </x:c>
      <x:c r="C27" s="22" t="str">
        <x:v>请选出最重要的5项功能。</x:v>
      </x:c>
      <x:c r="D27" s="22" t="str">
        <x:v>最多选5项</x:v>
      </x:c>
      <x:c r="E27" s="22" t="str">
        <x:v>保留完整计算元数据；数值校验报告；多程序输入；一键Blender场景；正负轨道叶分离；周期单胞/超胞；多帧动画；NTO/差分密度；大网格稀疏VDB；批处理；Python API；GUI；自动生成方法说明/图注；原始文件哈希归档</x:v>
      </x:c>
      <x:c r="F27" s="22" t="str">
        <x:v>是</x:v>
      </x:c>
      <x:c r="G27" s="22" t="str"/>
      <x:c r="H27" s="22" t="str">
        <x:v>路线图排序</x:v>
      </x:c>
      <x:c r="I27" s="30" t="str">
        <x:v>feature_priority</x:v>
      </x:c>
    </x:row>
    <x:row r="28" ht="48" customHeight="1">
      <x:c r="A28" s="29" t="str">
        <x:v>Q24</x:v>
      </x:c>
      <x:c r="B28" s="22" t="str">
        <x:v>验证门槛</x:v>
      </x:c>
      <x:c r="C28" s="22" t="str">
        <x:v>您接受cube→VDB转换的最低验证要求？</x:v>
      </x:c>
      <x:c r="D28" s="22" t="str">
        <x:v>多选</x:v>
      </x:c>
      <x:c r="E28" s="22" t="str">
        <x:v>坐标/仿射变换一致；最大/RMS场误差；积分电子数；正负符号保持；等值面面积/体积对照；原始cube哈希；软件/版本/方法元数据；视觉检查即可；其他</x:v>
      </x:c>
      <x:c r="F28" s="22" t="str">
        <x:v>是</x:v>
      </x:c>
      <x:c r="G28" s="22" t="str"/>
      <x:c r="H28" s="22" t="str">
        <x:v>验收标准</x:v>
      </x:c>
      <x:c r="I28" s="30" t="str">
        <x:v>validation_minimum</x:v>
      </x:c>
    </x:row>
    <x:row r="29" ht="48" customHeight="1">
      <x:c r="A29" s="29" t="str">
        <x:v>Q25</x:v>
      </x:c>
      <x:c r="B29" s="22" t="str">
        <x:v>部署</x:v>
      </x:c>
      <x:c r="C29" s="22" t="str">
        <x:v>您更可能采用哪种交付方式？</x:v>
      </x:c>
      <x:c r="D29" s="22" t="str">
        <x:v>多选</x:v>
      </x:c>
      <x:c r="E29" s="22" t="str">
        <x:v>Blender插件；独立CLI；Python包；Jupyter界面；Web服务；HPC批处理；容器镜像；机构内部部署</x:v>
      </x:c>
      <x:c r="F29" s="22" t="str">
        <x:v>是</x:v>
      </x:c>
      <x:c r="G29" s="22" t="str"/>
      <x:c r="H29" s="22" t="str">
        <x:v>产品形态</x:v>
      </x:c>
      <x:c r="I29" s="30" t="str">
        <x:v>delivery</x:v>
      </x:c>
    </x:row>
    <x:row r="30" ht="48" customHeight="1">
      <x:c r="A30" s="29" t="str">
        <x:v>Q26</x:v>
      </x:c>
      <x:c r="B30" s="22" t="str">
        <x:v>开放</x:v>
      </x:c>
      <x:c r="C30" s="22" t="str">
        <x:v>请描述一个当前工具难以完成、但您希望该工作流解决的具体案例。</x:v>
      </x:c>
      <x:c r="D30" s="22" t="str">
        <x:v>开放题</x:v>
      </x:c>
      <x:c r="E30" s="22" t="str"/>
      <x:c r="F30" s="22" t="str">
        <x:v>否</x:v>
      </x:c>
      <x:c r="G30" s="22" t="str"/>
      <x:c r="H30" s="22" t="str">
        <x:v>需求发现</x:v>
      </x:c>
      <x:c r="I30" s="30" t="str">
        <x:v>open_case</x:v>
      </x:c>
    </x:row>
    <x:row r="31" ht="48" customHeight="1">
      <x:c r="A31" s="31" t="str">
        <x:v>Q27</x:v>
      </x:c>
      <x:c r="B31" s="32" t="str">
        <x:v>招募</x:v>
      </x:c>
      <x:c r="C31" s="32" t="str">
        <x:v>您是否愿意参加后续30分钟访谈或提供匿名测试数据？</x:v>
      </x:c>
      <x:c r="D31" s="32" t="str">
        <x:v>单选</x:v>
      </x:c>
      <x:c r="E31" s="32" t="str">
        <x:v>愿意访谈；愿意提供测试数据；两者都愿意；暂不愿意</x:v>
      </x:c>
      <x:c r="F31" s="32" t="str">
        <x:v>否</x:v>
      </x:c>
      <x:c r="G31" s="32" t="str"/>
      <x:c r="H31" s="32" t="str">
        <x:v>后续研究</x:v>
      </x:c>
      <x:c r="I31" s="33" t="str">
        <x:v>followup</x:v>
      </x:c>
    </x:row>
  </x:sheetData>
  <x:mergeCells>
    <x:mergeCell ref="A1:I1"/>
    <x:mergeCell ref="A2:I2"/>
  </x:mergeCells>
  <x:dataValidations count="1">
    <x:dataValidation type="list" sqref="F5:F3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385f9da8c14a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38" hidden="0" customWidth="1"/>
    <x:col min="5" max="5" width="26" hidden="0" customWidth="1"/>
    <x:col min="6" max="6" width="28" hidden="0" customWidth="1"/>
    <x:col min="7" max="7" width="30" hidden="0" customWidth="1"/>
    <x:col min="8" max="8" width="42" hidden="0" customWidth="1"/>
    <x:col min="9" max="9" width="34" hidden="0" customWidth="1"/>
    <x:col min="10" max="10" width="10" hidden="0" customWidth="1"/>
  </x:cols>
  <x:sheetData>
    <x:row r="1" ht="32" customHeight="1">
      <x:c r="A1" s="5" t="str">
        <x:v>PySCF/cube/OpenVDB/Blender科学完整性与跨代码验证矩阵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P0=发布前必须；P1=研究版必须或紧随其后。阈值应随方法/网格预注册并在报告中公开。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50" customHeight="1">
      <x:c r="A4" s="98" t="str">
        <x:v>测试ID</x:v>
      </x:c>
      <x:c r="B4" s="102" t="str">
        <x:v>层级</x:v>
      </x:c>
      <x:c r="C4" s="102" t="str">
        <x:v>测试对象</x:v>
      </x:c>
      <x:c r="D4" s="102" t="str">
        <x:v>固定输入/fixture</x:v>
      </x:c>
      <x:c r="E4" s="102" t="str">
        <x:v>比较引擎/参考</x:v>
      </x:c>
      <x:c r="F4" s="102" t="str">
        <x:v>指标</x:v>
      </x:c>
      <x:c r="G4" s="102" t="str">
        <x:v>建议阈值</x:v>
      </x:c>
      <x:c r="H4" s="102" t="str">
        <x:v>必须记录的元数据</x:v>
      </x:c>
      <x:c r="I4" s="102" t="str">
        <x:v>常见失败解释</x:v>
      </x:c>
      <x:c r="J4" s="99" t="str">
        <x:v>优先级</x:v>
      </x:c>
    </x:row>
    <x:row r="5" ht="50" customHeight="1">
      <x:c r="A5" s="29" t="str">
        <x:v>V01</x:v>
      </x:c>
      <x:c r="B5" s="22" t="str">
        <x:v>格式</x:v>
      </x:c>
      <x:c r="C5" s="22" t="str">
        <x:v>Cube头信息解析</x:v>
      </x:c>
      <x:c r="D5" s="22" t="str">
        <x:v>已知原点、三个轴向量、非正交网格的fixture</x:v>
      </x:c>
      <x:c r="E5" s="22" t="str">
        <x:v>PySCF/手工cube</x:v>
      </x:c>
      <x:c r="F5" s="22" t="str">
        <x:v>原点和3×3步长矩阵逐元素差</x:v>
      </x:c>
      <x:c r="G5" s="22" t="str">
        <x:v>绝对误差≤1e-12（双精度解析）</x:v>
      </x:c>
      <x:c r="H5" s="22" t="str">
        <x:v>单位、natoms、轴符号、网格数</x:v>
      </x:c>
      <x:c r="I5" s="22" t="str">
        <x:v>把轴长误当对角步长或丢失剪切</x:v>
      </x:c>
      <x:c r="J5" s="30" t="str">
        <x:v>P0</x:v>
      </x:c>
    </x:row>
    <x:row r="6" ht="50" customHeight="1">
      <x:c r="A6" s="29" t="str">
        <x:v>V02</x:v>
      </x:c>
      <x:c r="B6" s="22" t="str">
        <x:v>格式</x:v>
      </x:c>
      <x:c r="C6" s="22" t="str">
        <x:v>单位识别与归一</x:v>
      </x:c>
      <x:c r="D6" s="22" t="str">
        <x:v>Bohr与Å坐标的等价fixture</x:v>
      </x:c>
      <x:c r="E6" s="22" t="str">
        <x:v>Gaussian/PySCF/第三方cube</x:v>
      </x:c>
      <x:c r="F6" s="22" t="str">
        <x:v>转换后世界坐标一致</x:v>
      </x:c>
      <x:c r="G6" s="22" t="str">
        <x:v>≤1e-8 Å</x:v>
      </x:c>
      <x:c r="H6" s="22" t="str">
        <x:v>原始单位、归一单位、换算常数</x:v>
      </x:c>
      <x:c r="I6" s="22" t="str">
        <x:v>单位猜测错误导致场与原子错位</x:v>
      </x:c>
      <x:c r="J6" s="30" t="str">
        <x:v>P0</x:v>
      </x:c>
    </x:row>
    <x:row r="7" ht="50" customHeight="1">
      <x:c r="A7" s="29" t="str">
        <x:v>V03</x:v>
      </x:c>
      <x:c r="B7" s="22" t="str">
        <x:v>周期</x:v>
      </x:c>
      <x:c r="C7" s="22" t="str">
        <x:v>周期端点语义</x:v>
      </x:c>
      <x:c r="D7" s="22" t="str">
        <x:v>同一晶胞endpoint=False与重复边界fixture</x:v>
      </x:c>
      <x:c r="E7" s="22" t="str">
        <x:v>PySCF PBC/CP2K/QE</x:v>
      </x:c>
      <x:c r="F7" s="22" t="str">
        <x:v>边界切片重复度、积分偏差</x:v>
      </x:c>
      <x:c r="G7" s="22" t="str">
        <x:v>不重复周期末平面</x:v>
      </x:c>
      <x:c r="H7" s="22" t="str">
        <x:v>PBC标志、晶格矩阵、网格约定</x:v>
      </x:c>
      <x:c r="I7" s="22" t="str">
        <x:v>重复边界导致接缝和积分偏大</x:v>
      </x:c>
      <x:c r="J7" s="30" t="str">
        <x:v>P0</x:v>
      </x:c>
    </x:row>
    <x:row r="8" ht="50" customHeight="1">
      <x:c r="A8" s="29" t="str">
        <x:v>V04</x:v>
      </x:c>
      <x:c r="B8" s="22" t="str">
        <x:v>物理量</x:v>
      </x:c>
      <x:c r="C8" s="22" t="str">
        <x:v>电子密度积分</x:v>
      </x:c>
      <x:c r="D8" s="22" t="str">
        <x:v>已知电子数的小分子/晶胞</x:v>
      </x:c>
      <x:c r="E8" s="22" t="str">
        <x:v>PySCF/Gaussian/ORCA</x:v>
      </x:c>
      <x:c r="F8" s="22" t="str">
        <x:v>ΣρΔV与电子数差</x:v>
      </x:c>
      <x:c r="G8" s="22" t="str">
        <x:v>常规网格≤0.1%；高精网格≤0.01%</x:v>
      </x:c>
      <x:c r="H8" s="22" t="str">
        <x:v>电荷、自旋、体元、边界</x:v>
      </x:c>
      <x:c r="I8" s="22" t="str">
        <x:v>网格截断、单位或体元错误</x:v>
      </x:c>
      <x:c r="J8" s="30" t="str">
        <x:v>P0</x:v>
      </x:c>
    </x:row>
    <x:row r="9" ht="50" customHeight="1">
      <x:c r="A9" s="29" t="str">
        <x:v>V05</x:v>
      </x:c>
      <x:c r="B9" s="22" t="str">
        <x:v>物理量</x:v>
      </x:c>
      <x:c r="C9" s="22" t="str">
        <x:v>轨道正负号保持</x:v>
      </x:c>
      <x:c r="D9" s="22" t="str">
        <x:v>含节点和正负叶的p/d轨道fixture</x:v>
      </x:c>
      <x:c r="E9" s="22" t="str">
        <x:v>PySCF/Gaussian/ORCA</x:v>
      </x:c>
      <x:c r="F9" s="22" t="str">
        <x:v>符号混淆率、零交叉位置</x:v>
      </x:c>
      <x:c r="G9" s="22" t="str">
        <x:v>非零体素符号100%保持</x:v>
      </x:c>
      <x:c r="H9" s="22" t="str">
        <x:v>轨道索引、相位对齐策略</x:v>
      </x:c>
      <x:c r="I9" s="22" t="str">
        <x:v>把负值截断为体密度</x:v>
      </x:c>
      <x:c r="J9" s="30" t="str">
        <x:v>P0</x:v>
      </x:c>
    </x:row>
    <x:row r="10" ht="50" customHeight="1">
      <x:c r="A10" s="29" t="str">
        <x:v>V06</x:v>
      </x:c>
      <x:c r="B10" s="22" t="str">
        <x:v>物理量</x:v>
      </x:c>
      <x:c r="C10" s="22" t="str">
        <x:v>轨道相位跨帧对齐</x:v>
      </x:c>
      <x:c r="D10" s="22" t="str">
        <x:v>几何扫描中相邻轨道</x:v>
      </x:c>
      <x:c r="E10" s="22" t="str">
        <x:v>PySCF/任意后端</x:v>
      </x:c>
      <x:c r="F10" s="22" t="str">
        <x:v>相邻帧重叠矩阵符号与连续性</x:v>
      </x:c>
      <x:c r="G10" s="22" t="str">
        <x:v>|S|最大且符号连续</x:v>
      </x:c>
      <x:c r="H10" s="22" t="str">
        <x:v>MO系数、子空间、简并信息</x:v>
      </x:c>
      <x:c r="I10" s="22" t="str">
        <x:v>任意全局相位造成闪烁</x:v>
      </x:c>
      <x:c r="J10" s="30" t="str">
        <x:v>P1</x:v>
      </x:c>
    </x:row>
    <x:row r="11" ht="50" customHeight="1">
      <x:c r="A11" s="29" t="str">
        <x:v>V07</x:v>
      </x:c>
      <x:c r="B11" s="22" t="str">
        <x:v>数值</x:v>
      </x:c>
      <x:c r="C11" s="22" t="str">
        <x:v>Dense→VDB无损采样</x:v>
      </x:c>
      <x:c r="D11" s="22" t="str">
        <x:v>随机场+解析函数场</x:v>
      </x:c>
      <x:c r="E11" s="22" t="str">
        <x:v>NumPy参考</x:v>
      </x:c>
      <x:c r="F11" s="22" t="str">
        <x:v>max/RMS误差</x:v>
      </x:c>
      <x:c r="G11" s="22" t="str">
        <x:v>float32模式按声明；float64≤1e-12</x:v>
      </x:c>
      <x:c r="H11" s="22" t="str">
        <x:v>VDB值类型、背景值、稀疏阈值</x:v>
      </x:c>
      <x:c r="I11" s="22" t="str">
        <x:v>错误阈值把小值清零</x:v>
      </x:c>
      <x:c r="J11" s="30" t="str">
        <x:v>P0</x:v>
      </x:c>
    </x:row>
    <x:row r="12" ht="50" customHeight="1">
      <x:c r="A12" s="29" t="str">
        <x:v>V08</x:v>
      </x:c>
      <x:c r="B12" s="22" t="str">
        <x:v>数值</x:v>
      </x:c>
      <x:c r="C12" s="22" t="str">
        <x:v>稀疏截断误差预算</x:v>
      </x:c>
      <x:c r="D12" s="22" t="str">
        <x:v>指数衰减密度和多尺度场</x:v>
      </x:c>
      <x:c r="E12" s="22" t="str">
        <x:v>Dense参考</x:v>
      </x:c>
      <x:c r="F12" s="22" t="str">
        <x:v>L1/L2/L∞、积分差、活跃体素率</x:v>
      </x:c>
      <x:c r="G12" s="22" t="str">
        <x:v>由用户设定且报告；默认不改变电子数&gt;0.01%</x:v>
      </x:c>
      <x:c r="H12" s="22" t="str">
        <x:v>阈值、背景值、压缩模式</x:v>
      </x:c>
      <x:c r="I12" s="22" t="str">
        <x:v>文件变小但科学量偏移</x:v>
      </x:c>
      <x:c r="J12" s="30" t="str">
        <x:v>P1</x:v>
      </x:c>
    </x:row>
    <x:row r="13" ht="50" customHeight="1">
      <x:c r="A13" s="29" t="str">
        <x:v>V09</x:v>
      </x:c>
      <x:c r="B13" s="22" t="str">
        <x:v>几何</x:v>
      </x:c>
      <x:c r="C13" s="22" t="str">
        <x:v>原子与体场对齐</x:v>
      </x:c>
      <x:c r="D13" s="22" t="str">
        <x:v>不在原点、旋转/剪切网格</x:v>
      </x:c>
      <x:c r="E13" s="22" t="str">
        <x:v>PySCF/手工fixture</x:v>
      </x:c>
      <x:c r="F13" s="22" t="str">
        <x:v>原子坐标到体场峰位置距离</x:v>
      </x:c>
      <x:c r="G13" s="22" t="str">
        <x:v>≤半个最小体素对角线</x:v>
      </x:c>
      <x:c r="H13" s="22" t="str">
        <x:v>坐标系、变换矩阵、Blender单位</x:v>
      </x:c>
      <x:c r="I13" s="22" t="str">
        <x:v>index-space直接映射导致错位</x:v>
      </x:c>
      <x:c r="J13" s="30" t="str">
        <x:v>P0</x:v>
      </x:c>
    </x:row>
    <x:row r="14" ht="50" customHeight="1">
      <x:c r="A14" s="29" t="str">
        <x:v>V10</x:v>
      </x:c>
      <x:c r="B14" s="22" t="str">
        <x:v>等值面</x:v>
      </x:c>
      <x:c r="C14" s="22" t="str">
        <x:v>正负双等值面</x:v>
      </x:c>
      <x:c r="D14" s="22" t="str">
        <x:v>HOMO/LUMO标准fixture</x:v>
      </x:c>
      <x:c r="E14" s="22" t="str">
        <x:v>Molecular Blender/Den2Obj/参考marching cubes</x:v>
      </x:c>
      <x:c r="F14" s="22" t="str">
        <x:v>面积、体积、Hausdorff距离</x:v>
      </x:c>
      <x:c r="G14" s="22" t="str">
        <x:v>相对差≤1%；几何距离≤1体素</x:v>
      </x:c>
      <x:c r="H14" s="22" t="str">
        <x:v>isovalue、插值、平滑参数</x:v>
      </x:c>
      <x:c r="I14" s="22" t="str">
        <x:v>正负叶合并或阈值不一致</x:v>
      </x:c>
      <x:c r="J14" s="30" t="str">
        <x:v>P1</x:v>
      </x:c>
    </x:row>
    <x:row r="15" ht="50" customHeight="1">
      <x:c r="A15" s="29" t="str">
        <x:v>V11</x:v>
      </x:c>
      <x:c r="B15" s="22" t="str">
        <x:v>等值面</x:v>
      </x:c>
      <x:c r="C15" s="22" t="str">
        <x:v>等值面阈值可复现</x:v>
      </x:c>
      <x:c r="D15" s="22" t="str">
        <x:v>固定cube和isovalue</x:v>
      </x:c>
      <x:c r="E15" s="22" t="str">
        <x:v>Blender版本/插件版本</x:v>
      </x:c>
      <x:c r="F15" s="22" t="str">
        <x:v>顶点数、面积、包围盒</x:v>
      </x:c>
      <x:c r="G15" s="22" t="str">
        <x:v>版本内确定性；跨版本报告差异</x:v>
      </x:c>
      <x:c r="H15" s="22" t="str">
        <x:v>Blender、OpenVDB、插件版本</x:v>
      </x:c>
      <x:c r="I15" s="22" t="str">
        <x:v>隐藏平滑/重采样改变结果</x:v>
      </x:c>
      <x:c r="J15" s="30" t="str">
        <x:v>P1</x:v>
      </x:c>
    </x:row>
    <x:row r="16" ht="50" customHeight="1">
      <x:c r="A16" s="29" t="str">
        <x:v>V12</x:v>
      </x:c>
      <x:c r="B16" s="22" t="str">
        <x:v>跨引擎</x:v>
      </x:c>
      <x:c r="C16" s="22" t="str">
        <x:v>HF/DFT总能量</x:v>
      </x:c>
      <x:c r="D16" s="22" t="str">
        <x:v>小分子固定几何/基组/收敛</x:v>
      </x:c>
      <x:c r="E16" s="22" t="str">
        <x:v>PySCF/Gaussian/ORCA/Psi4</x:v>
      </x:c>
      <x:c r="F16" s="22" t="str">
        <x:v>Hartree差</x:v>
      </x:c>
      <x:c r="G16" s="22" t="str">
        <x:v>HF≤1e-8 Eh；DFT同网格≤1e-6 Eh</x:v>
      </x:c>
      <x:c r="H16" s="22" t="str">
        <x:v>球/笛卡尔基、网格、ECP、对称性</x:v>
      </x:c>
      <x:c r="I16" s="22" t="str">
        <x:v>默认值不同而非实现错误</x:v>
      </x:c>
      <x:c r="J16" s="30" t="str">
        <x:v>P0</x:v>
      </x:c>
    </x:row>
    <x:row r="17" ht="50" customHeight="1">
      <x:c r="A17" s="29" t="str">
        <x:v>V13</x:v>
      </x:c>
      <x:c r="B17" s="22" t="str">
        <x:v>跨引擎</x:v>
      </x:c>
      <x:c r="C17" s="22" t="str">
        <x:v>相对能与反应能</x:v>
      </x:c>
      <x:c r="D17" s="22" t="str">
        <x:v>小型公开基准子集</x:v>
      </x:c>
      <x:c r="E17" s="22" t="str">
        <x:v>PySCF/Gaussian/ORCA/Q-Chem</x:v>
      </x:c>
      <x:c r="F17" s="22" t="str">
        <x:v>kcal/mol MAE/MAX</x:v>
      </x:c>
      <x:c r="G17" s="22" t="str">
        <x:v>按方法预注册；代码一致性目标≤0.01 kcal/mol</x:v>
      </x:c>
      <x:c r="H17" s="22" t="str">
        <x:v>全部协议与版本</x:v>
      </x:c>
      <x:c r="I17" s="22" t="str">
        <x:v>几何或色散模型不一致</x:v>
      </x:c>
      <x:c r="J17" s="30" t="str">
        <x:v>P0</x:v>
      </x:c>
    </x:row>
    <x:row r="18" ht="50" customHeight="1">
      <x:c r="A18" s="29" t="str">
        <x:v>V14</x:v>
      </x:c>
      <x:c r="B18" s="22" t="str">
        <x:v>跨引擎</x:v>
      </x:c>
      <x:c r="C18" s="22" t="str">
        <x:v>梯度</x:v>
      </x:c>
      <x:c r="D18" s="22" t="str">
        <x:v>解析梯度可用的小分子</x:v>
      </x:c>
      <x:c r="E18" s="22" t="str">
        <x:v>PySCF/Psi4/ORCA/Gaussian</x:v>
      </x:c>
      <x:c r="F18" s="22" t="str">
        <x:v>RMS/MAX Eh/Bohr</x:v>
      </x:c>
      <x:c r="G18" s="22" t="str">
        <x:v>RMS≤1e-6 Eh/Bohr</x:v>
      </x:c>
      <x:c r="H18" s="22" t="str">
        <x:v>grid response、阈值、冻结核</x:v>
      </x:c>
      <x:c r="I18" s="22" t="str">
        <x:v>不同网格响应/坐标约定</x:v>
      </x:c>
      <x:c r="J18" s="30" t="str">
        <x:v>P0</x:v>
      </x:c>
    </x:row>
    <x:row r="19" ht="50" customHeight="1">
      <x:c r="A19" s="29" t="str">
        <x:v>V15</x:v>
      </x:c>
      <x:c r="B19" s="22" t="str">
        <x:v>跨引擎</x:v>
      </x:c>
      <x:c r="C19" s="22" t="str">
        <x:v>Hessian/频率</x:v>
      </x:c>
      <x:c r="D19" s="22" t="str">
        <x:v>水、甲醛、较大有机物</x:v>
      </x:c>
      <x:c r="E19" s="22" t="str">
        <x:v>PySCF/ORCA/Gaussian</x:v>
      </x:c>
      <x:c r="F19" s="22" t="str">
        <x:v>频率cm⁻¹差、墙钟时间、内存</x:v>
      </x:c>
      <x:c r="G19" s="22" t="str">
        <x:v>数值一致性按协议；性能只在同硬件比较</x:v>
      </x:c>
      <x:c r="H19" s="22" t="str">
        <x:v>CPU、线程、BLAS、DF、网格</x:v>
      </x:c>
      <x:c r="I19" s="22" t="str">
        <x:v>把性能案例当普遍结论</x:v>
      </x:c>
      <x:c r="J19" s="30" t="str">
        <x:v>P1</x:v>
      </x:c>
    </x:row>
    <x:row r="20" ht="50" customHeight="1">
      <x:c r="A20" s="29" t="str">
        <x:v>V16</x:v>
      </x:c>
      <x:c r="B20" s="22" t="str">
        <x:v>轨道</x:v>
      </x:c>
      <x:c r="C20" s="22" t="str">
        <x:v>轨道子空间一致性</x:v>
      </x:c>
      <x:c r="D20" s="22" t="str">
        <x:v>近简并轨道体系</x:v>
      </x:c>
      <x:c r="E20" s="22" t="str">
        <x:v>PySCF/Gaussian/ORCA</x:v>
      </x:c>
      <x:c r="F20" s="22" t="str">
        <x:v>子空间主角/投影而非MO索引</x:v>
      </x:c>
      <x:c r="G20" s="22" t="str">
        <x:v>占据/目标子空间奇异值接近1</x:v>
      </x:c>
      <x:c r="H20" s="22" t="str">
        <x:v>轨道排序、对称性、相位</x:v>
      </x:c>
      <x:c r="I20" s="22" t="str">
        <x:v>逐轨道编号比较产生假差异</x:v>
      </x:c>
      <x:c r="J20" s="30" t="str">
        <x:v>P0</x:v>
      </x:c>
    </x:row>
    <x:row r="21" ht="50" customHeight="1">
      <x:c r="A21" s="29" t="str">
        <x:v>V17</x:v>
      </x:c>
      <x:c r="B21" s="22" t="str">
        <x:v>性质</x:v>
      </x:c>
      <x:c r="C21" s="22" t="str">
        <x:v>ESP/MEP场一致性</x:v>
      </x:c>
      <x:c r="D21" s="22" t="str">
        <x:v>水、苯、离子体系</x:v>
      </x:c>
      <x:c r="E21" s="22" t="str">
        <x:v>PySCF/Multiwfn/其他引擎</x:v>
      </x:c>
      <x:c r="F21" s="22" t="str">
        <x:v>采样点RMS/MAX</x:v>
      </x:c>
      <x:c r="G21" s="22" t="str">
        <x:v>远离核区域达到预设容差</x:v>
      </x:c>
      <x:c r="H21" s="22" t="str">
        <x:v>核电荷、ECP、单位、奇点屏蔽</x:v>
      </x:c>
      <x:c r="I21" s="22" t="str">
        <x:v>核附近发散和ECP定义差异</x:v>
      </x:c>
      <x:c r="J21" s="30" t="str">
        <x:v>P1</x:v>
      </x:c>
    </x:row>
    <x:row r="22" ht="50" customHeight="1">
      <x:c r="A22" s="29" t="str">
        <x:v>V18</x:v>
      </x:c>
      <x:c r="B22" s="22" t="str">
        <x:v>元数据</x:v>
      </x:c>
      <x:c r="C22" s="22" t="str">
        <x:v>计算溯源清单</x:v>
      </x:c>
      <x:c r="D22" s="22" t="str">
        <x:v>任意成功任务</x:v>
      </x:c>
      <x:c r="E22" s="22" t="str">
        <x:v>所有后端</x:v>
      </x:c>
      <x:c r="F22" s="22" t="str">
        <x:v>必填字段完整率</x:v>
      </x:c>
      <x:c r="G22" s="22" t="str">
        <x:v>P0字段100%</x:v>
      </x:c>
      <x:c r="H22" s="22" t="str">
        <x:v>引擎/版本/git hash、方法、基组、ECP、网格、收敛、文件哈希</x:v>
      </x:c>
      <x:c r="I22" s="22" t="str">
        <x:v>漂亮图无法复现实验</x:v>
      </x:c>
      <x:c r="J22" s="30" t="str">
        <x:v>P0</x:v>
      </x:c>
    </x:row>
    <x:row r="23" ht="50" customHeight="1">
      <x:c r="A23" s="29" t="str">
        <x:v>V19</x:v>
      </x:c>
      <x:c r="B23" s="22" t="str">
        <x:v>性能</x:v>
      </x:c>
      <x:c r="C23" s="22" t="str">
        <x:v>导入与内存</x:v>
      </x:c>
      <x:c r="D23" s="22" t="str">
        <x:v>128³/256³/512³多稀疏度场</x:v>
      </x:c>
      <x:c r="E23" s="22" t="str">
        <x:v>Dense mesh/Molecular Blender/Den2Obj</x:v>
      </x:c>
      <x:c r="F23" s="22" t="str">
        <x:v>转换时间、峰值RAM、VDB大小、Blender导入时间</x:v>
      </x:c>
      <x:c r="G23" s="22" t="str">
        <x:v>按硬件发布曲线，不设单一阈值</x:v>
      </x:c>
      <x:c r="H23" s="22" t="str">
        <x:v>硬件、线程、压缩、活跃体素率</x:v>
      </x:c>
      <x:c r="I23" s="22" t="str">
        <x:v>只比较文件大小忽略误差和导入成本</x:v>
      </x:c>
      <x:c r="J23" s="30" t="str">
        <x:v>P1</x:v>
      </x:c>
    </x:row>
    <x:row r="24" ht="50" customHeight="1">
      <x:c r="A24" s="31" t="str">
        <x:v>V20</x:v>
      </x:c>
      <x:c r="B24" s="32" t="str">
        <x:v>回归</x:v>
      </x:c>
      <x:c r="C24" s="32" t="str">
        <x:v>版本回归与黄金文件</x:v>
      </x:c>
      <x:c r="D24" s="32" t="str">
        <x:v>小型公开fixture集合</x:v>
      </x:c>
      <x:c r="E24" s="32" t="str">
        <x:v>CI</x:v>
      </x:c>
      <x:c r="F24" s="32" t="str">
        <x:v>哈希/统计量/渲染包围盒</x:v>
      </x:c>
      <x:c r="G24" s="32" t="str">
        <x:v>每次提交自动通过</x:v>
      </x:c>
      <x:c r="H24" s="32" t="str">
        <x:v>依赖版本、随机种子、容差</x:v>
      </x:c>
      <x:c r="I24" s="32" t="str">
        <x:v>Blender/OpenVDB升级静默改变结果</x:v>
      </x:c>
      <x:c r="J24" s="33" t="str">
        <x:v>P0</x:v>
      </x:c>
    </x:row>
  </x:sheetData>
  <x:mergeCells>
    <x:mergeCell ref="A1:J1"/>
    <x:mergeCell ref="A2:J2"/>
  </x:mergeCells>
  <x:conditionalFormatting sqref="J5:J24">
    <x:cfRule type="expression" dxfId="3" priority="1">
      <x:formula>J5="P0"</x:formula>
    </x:cfRule>
    <x:cfRule type="expression" dxfId="4" priority="2">
      <x:formula>J5="P1"</x:formula>
    </x:cfRule>
  </x:conditionalFormatting>
  <x:dataValidations count="1">
    <x:dataValidation type="list" sqref="J5:J2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ce2ce49094e4a"/>
  </x:tableParts>
</x:worksheet>
</file>